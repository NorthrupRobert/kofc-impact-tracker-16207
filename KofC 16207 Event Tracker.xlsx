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mbership" sheetId="1" r:id="rId4"/>
    <sheet state="visible" name="Event Tracking" sheetId="2" r:id="rId5"/>
    <sheet state="visible" name="Sheet10" sheetId="3" r:id="rId6"/>
    <sheet state="visible" name="Years In Review" sheetId="4" r:id="rId7"/>
  </sheets>
  <definedNames>
    <definedName hidden="1" localSheetId="0" name="_xlnm._FilterDatabase">Membership!$A$1:$J$50</definedName>
  </definedNames>
  <calcPr/>
</workbook>
</file>

<file path=xl/sharedStrings.xml><?xml version="1.0" encoding="utf-8"?>
<sst xmlns="http://schemas.openxmlformats.org/spreadsheetml/2006/main" count="330" uniqueCount="199">
  <si>
    <t>Role</t>
  </si>
  <si>
    <t>Member_First_Name</t>
  </si>
  <si>
    <t>Member_Last_Name</t>
  </si>
  <si>
    <t>Member_Full_Name</t>
  </si>
  <si>
    <t>Responsibilities</t>
  </si>
  <si>
    <t>Phone</t>
  </si>
  <si>
    <t>Email</t>
  </si>
  <si>
    <t>Attended Events Past 3 Months</t>
  </si>
  <si>
    <t>Active</t>
  </si>
  <si>
    <t>Reached Out to Fall 2025</t>
  </si>
  <si>
    <t>Grand Knight</t>
  </si>
  <si>
    <t>James</t>
  </si>
  <si>
    <t>Gardner</t>
  </si>
  <si>
    <t>Yes</t>
  </si>
  <si>
    <t>Deputy Grand Knight</t>
  </si>
  <si>
    <t>Robb</t>
  </si>
  <si>
    <t>Northrup</t>
  </si>
  <si>
    <t>Assist GK, Generate Monthly Reports on What We've Done</t>
  </si>
  <si>
    <t>702-622-3005</t>
  </si>
  <si>
    <t>RobbNorthrup@Outlook.com</t>
  </si>
  <si>
    <t>Recorder</t>
  </si>
  <si>
    <t>Zhao</t>
  </si>
  <si>
    <t>Yu</t>
  </si>
  <si>
    <t>Take notes at general meetings, update excel spreadsheets and hours</t>
  </si>
  <si>
    <t>937-626-4416</t>
  </si>
  <si>
    <t>Warden</t>
  </si>
  <si>
    <t>Dylan</t>
  </si>
  <si>
    <t>Bergsen</t>
  </si>
  <si>
    <t>No</t>
  </si>
  <si>
    <t>Treasurer</t>
  </si>
  <si>
    <t>Nick</t>
  </si>
  <si>
    <t>Eastwood</t>
  </si>
  <si>
    <t>Chancellor</t>
  </si>
  <si>
    <t>PJ</t>
  </si>
  <si>
    <t>Duquette</t>
  </si>
  <si>
    <t>Trustee</t>
  </si>
  <si>
    <t>Alex</t>
  </si>
  <si>
    <t>Totter</t>
  </si>
  <si>
    <t>General Member</t>
  </si>
  <si>
    <t>Alvaro</t>
  </si>
  <si>
    <t>Andrew</t>
  </si>
  <si>
    <t>Izzo</t>
  </si>
  <si>
    <t>Squire</t>
  </si>
  <si>
    <t>Boni</t>
  </si>
  <si>
    <t>Jacinto</t>
  </si>
  <si>
    <t>Financial Secretary</t>
  </si>
  <si>
    <t>Don</t>
  </si>
  <si>
    <t>Cortez</t>
  </si>
  <si>
    <t>Jack</t>
  </si>
  <si>
    <t>McKinzie</t>
  </si>
  <si>
    <t>Josh</t>
  </si>
  <si>
    <t>Snow</t>
  </si>
  <si>
    <t>Joe</t>
  </si>
  <si>
    <t>Yarhi</t>
  </si>
  <si>
    <t>Juan</t>
  </si>
  <si>
    <t>Camacho-Marales</t>
  </si>
  <si>
    <t>Kevin</t>
  </si>
  <si>
    <t>Malone</t>
  </si>
  <si>
    <t>Leo</t>
  </si>
  <si>
    <t>Pankratz</t>
  </si>
  <si>
    <t>Inside Guard</t>
  </si>
  <si>
    <t>Matthew</t>
  </si>
  <si>
    <t>Combs</t>
  </si>
  <si>
    <t>Noah</t>
  </si>
  <si>
    <t>Backman-Dodge</t>
  </si>
  <si>
    <t>Patrick</t>
  </si>
  <si>
    <t>Cendana</t>
  </si>
  <si>
    <t>Lapsed</t>
  </si>
  <si>
    <t>Cummings</t>
  </si>
  <si>
    <t>Follow Up</t>
  </si>
  <si>
    <t>Ryan</t>
  </si>
  <si>
    <t>Xavier</t>
  </si>
  <si>
    <t>Lockerby</t>
  </si>
  <si>
    <t>Tyler</t>
  </si>
  <si>
    <t>Cholico</t>
  </si>
  <si>
    <t>Nathan</t>
  </si>
  <si>
    <t>Soares</t>
  </si>
  <si>
    <t>Matthias</t>
  </si>
  <si>
    <t>Loop</t>
  </si>
  <si>
    <t>Start_Date</t>
  </si>
  <si>
    <t>End_Date</t>
  </si>
  <si>
    <t>Event_Name</t>
  </si>
  <si>
    <t>Program</t>
  </si>
  <si>
    <t>Organizer</t>
  </si>
  <si>
    <t>Names_of_Participating_Members</t>
  </si>
  <si>
    <t>Unknown_Members</t>
  </si>
  <si>
    <t>Number_of_Participating_Members</t>
  </si>
  <si>
    <t>Number_of_Participating_Non-Members</t>
  </si>
  <si>
    <t>Total_Participants</t>
  </si>
  <si>
    <t>Volunteer_(V)_Faternal_(F)_or_Meeting_(M)_Event</t>
  </si>
  <si>
    <t>Total_Event_Hours</t>
  </si>
  <si>
    <t>Volunteer_Hours_Acquired</t>
  </si>
  <si>
    <t>Franternal_Hours_Acquired</t>
  </si>
  <si>
    <t>Meeting_Hours_Acquired</t>
  </si>
  <si>
    <t>Budget_Affect</t>
  </si>
  <si>
    <t>Impact</t>
  </si>
  <si>
    <t>Notes</t>
  </si>
  <si>
    <t>Walk for Life</t>
  </si>
  <si>
    <t>KofC</t>
  </si>
  <si>
    <t>Patrick Cendana, James Gardner, Zhao Yu</t>
  </si>
  <si>
    <t>V</t>
  </si>
  <si>
    <t>Piano Moving + Assembling</t>
  </si>
  <si>
    <t>Misc</t>
  </si>
  <si>
    <t>Christmas Caroling</t>
  </si>
  <si>
    <t>Helping Lupe Move</t>
  </si>
  <si>
    <t>Moving Company</t>
  </si>
  <si>
    <t>Robb Northrup</t>
  </si>
  <si>
    <t>Ryan Yarhi, James Gardner, Matthew Combes, Robb Northrup, Dylan Bergsen</t>
  </si>
  <si>
    <t>Flood Cleaning</t>
  </si>
  <si>
    <t>James Gardner</t>
  </si>
  <si>
    <t>Patrick Cendana, James Gardner, Ryan Yarhi, Zhao Yu</t>
  </si>
  <si>
    <t>Robert Move</t>
  </si>
  <si>
    <t>Zhao Yu</t>
  </si>
  <si>
    <t>Zhao Yu, Robb Northrup, Alex Totter</t>
  </si>
  <si>
    <t>Helping Alia Move</t>
  </si>
  <si>
    <t>Alex Totter, Joe Yarhi, Robb Northrup, Ryan Yarhi</t>
  </si>
  <si>
    <t>Silent Retreat on Sacred Heart</t>
  </si>
  <si>
    <t>Retreats</t>
  </si>
  <si>
    <t>Dylan Bergsen, Ryan Yarhi, James Gardner, PJ Duquette, Alex Totter</t>
  </si>
  <si>
    <t>F</t>
  </si>
  <si>
    <t>Great Reno Balloon Race</t>
  </si>
  <si>
    <t>Coordinated with local law enforcement to facilitate the public safety of some of the 150,000 attendees (from Sunday) to the Great Air Balloon Races (Sierra and McCarran intersection). Directed pedestrian and vehicle traffic, collected donations for the Balloon Race that help aid local charities with building homes for Veterans, etc.</t>
  </si>
  <si>
    <t>St. Rose of Lima KofC Averages $8-9k per year in fundraising due to this even alone. This is a great and easy fundraising opportunity for next year!!!</t>
  </si>
  <si>
    <t>College Council Conference 2025</t>
  </si>
  <si>
    <t>Zhao Yu, Robb Northrup</t>
  </si>
  <si>
    <t>Attendees can also look forward to keynote addresses, training sessions, panels, and main stage presentations on council best practices, leadership development, and living as a Catholic gentleman. This trip to the birthplace of our Order will also include a visit to the Blessed Michael McGivney Pilgrimage Center and Mass at St. Mary’s Church - the burial site of Blessed Michael J. McGivney. At this conference you will have the opportunity to meet, network, and exchange ideas with over 200 college council leaders from nearly 100 councils across North America and exchange ideas and best practices with them.</t>
  </si>
  <si>
    <t>Instill that vigor for Christ's work on Earth! New members should attend this event yearly to set them ablaze.</t>
  </si>
  <si>
    <t>Helping Alia and Lupe Move</t>
  </si>
  <si>
    <t>Ryan Yarhi, Robb Northrup</t>
  </si>
  <si>
    <t>COR Meeting, Officers</t>
  </si>
  <si>
    <t>COR</t>
  </si>
  <si>
    <t>Zhao Yu, Robb Northrup, James Gardner, Nick Eastwood, Alex Totter, PJ Duquette</t>
  </si>
  <si>
    <t>Taco Cooking with Our Lady of Snows</t>
  </si>
  <si>
    <t>James Gardner, Zhao Yu, Robb Northrup, Don Cortez</t>
  </si>
  <si>
    <t>Pub n' Sub Hangout</t>
  </si>
  <si>
    <t>Fraternal</t>
  </si>
  <si>
    <t>James Gardner, Robb Northrup, Zhao Yu, Ryan Yarhi</t>
  </si>
  <si>
    <t>Tyler (a potential member) expressed interest in joining the knights and contributing to the newman community</t>
  </si>
  <si>
    <t>Burrito Project</t>
  </si>
  <si>
    <t>General Meeting</t>
  </si>
  <si>
    <t>Meeting</t>
  </si>
  <si>
    <t>James Gardner, Alex Totter, Dylan Bergsen, Robb Northrup, PJ Duquette, Zhao Yu, Don Cortez, Matthew Combes</t>
  </si>
  <si>
    <t>M</t>
  </si>
  <si>
    <t>Smoke, Smoke, &amp; Smoke</t>
  </si>
  <si>
    <t>James Gardner, Alex Totter, Robb Northrup, PJ Duquette, Zhao Yu, Tyler Cholico, Matthew Combes</t>
  </si>
  <si>
    <t>Coffee &amp; Donuts</t>
  </si>
  <si>
    <t>Feeding the Parish</t>
  </si>
  <si>
    <t>Dylan Bergsen, Robb Northrup</t>
  </si>
  <si>
    <t>Dylan Bergsen, Robb Northrup, James Gardner, Tyler Cholico</t>
  </si>
  <si>
    <t>24 burritos made and distributed to the homeless in Reno</t>
  </si>
  <si>
    <t>Learning experience: Don't do it on a weeknight, require optimally 5-6 people to cook, package, and clean the space in good time (striving for two hours for food prep), have at least two cars to distribute the burritos, go during the day to not deal with druggies (though night wasn't terrible if you know where to go), distribute in pairs of at least two to protect ourselves</t>
  </si>
  <si>
    <t>McCarran Preserve</t>
  </si>
  <si>
    <t>Hike</t>
  </si>
  <si>
    <t>Patrick Cendana</t>
  </si>
  <si>
    <t>Patrick Cendana, Joe Yarhi, Robb Northrup</t>
  </si>
  <si>
    <t>Veterans Day Parade</t>
  </si>
  <si>
    <t>James Gardner, Matthew Combes, Robb Northrup, Patrick Police</t>
  </si>
  <si>
    <t>The Lay Apostalate: Mission in the Modern World</t>
  </si>
  <si>
    <t>James Gardner, Zhao Yu, PJ Duquette, Nick Eastwood, Ryan Yarhi, Tyler Cholico, Patrick Cendana, Alex Totter, Leo Pankratz, Juan Camacho-Marales</t>
  </si>
  <si>
    <t>James gave a talk on "The Lay Apostalate: Mission in the Modern World": our mission as laymen within the church for the world in the modern age. In terms of attendance, this was our most successful event thus far!</t>
  </si>
  <si>
    <t>Kofc</t>
  </si>
  <si>
    <t>Don Cortez, Robb Northrup, James Gardner</t>
  </si>
  <si>
    <t>Matthew Combes, James Gardner, Robb Northrup, Tyler Cholico, PJ Duquette, Alex Totter, Leo Pankratz, Nick Eastwood, Andrew Izzo</t>
  </si>
  <si>
    <t>Issue coordinating food... a designated POC should be established for ensuring that the entire event runs smoothly and food is available for the event. Maybe consider having a list for people to sign up items for the get-together so we don't have to venmo eachother?</t>
  </si>
  <si>
    <t>James Gardner, Robb Northrup, Matthias Loop, Alex Totter, Dylan Bergsen</t>
  </si>
  <si>
    <t>Distribution</t>
  </si>
  <si>
    <t>Packets for the Homeless</t>
  </si>
  <si>
    <t>PJ Duquette, Nick Eastwood</t>
  </si>
  <si>
    <t>Nick Eastwood, PJ Duquette, Alex Totter, Don Cortez</t>
  </si>
  <si>
    <t>40 bags delivered to the homeless, huge success!</t>
  </si>
  <si>
    <t>Shopping</t>
  </si>
  <si>
    <t>Nick Eastwood</t>
  </si>
  <si>
    <t>Nick Eastwood, PJ Duquette</t>
  </si>
  <si>
    <t>Assembly</t>
  </si>
  <si>
    <t>Nick Eastwood, Alex Totter</t>
  </si>
  <si>
    <t>Exemplification</t>
  </si>
  <si>
    <t>James Gardner, Tyler Cholico, Leo Pankratz</t>
  </si>
  <si>
    <t>James Gardner, Tyler Cholico, Nick Eastwood, Don Cortez, Zhao Yu, Alex Totter, Leo Pankratz, Matthew Combes</t>
  </si>
  <si>
    <t>Parish Dinner</t>
  </si>
  <si>
    <t>Zhao Yu, Matthew Combes, James Gardner, Alex Totter, Leo Pankratz</t>
  </si>
  <si>
    <t>Gravestone Cleaning @ Our Mother of Sorrows Cemetary</t>
  </si>
  <si>
    <t>James Gardner, Leo Pankratz</t>
  </si>
  <si>
    <t>Reno Diocesan Conference</t>
  </si>
  <si>
    <t>Catholic Charities Tour</t>
  </si>
  <si>
    <t>Year_Columbus</t>
  </si>
  <si>
    <t>Total_Faternal_Hours</t>
  </si>
  <si>
    <t>Total_Volunteer_Hours</t>
  </si>
  <si>
    <t>Total_Hours</t>
  </si>
  <si>
    <t>Grand_Knight</t>
  </si>
  <si>
    <t>Most_Successful_Organizer</t>
  </si>
  <si>
    <t>Most_Volunteer_Hours_Acquired</t>
  </si>
  <si>
    <t>Most_Successful_Fraternal_Program</t>
  </si>
  <si>
    <t>Most_Successful_Volunteer_Program</t>
  </si>
  <si>
    <t>Most_Successful_Fundraising_Event</t>
  </si>
  <si>
    <t>Affected_Budget</t>
  </si>
  <si>
    <t>2024-2025</t>
  </si>
  <si>
    <t>2025-2026</t>
  </si>
  <si>
    <t>2026-2027</t>
  </si>
  <si>
    <t>2027-2028</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</si>
</sst>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quot;#,##0.00"/>
    <numFmt numFmtId="165" formatCode="mm/dd/yyyy"/>
    <numFmt numFmtId="166" formatCode="m/d/yyyy"/>
  </numFmts>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Font="1"/>
    <xf borderId="0" fillId="0" fontId="2" numFmtId="164" xfId="0" applyAlignment="1" applyFont="1" applyNumberFormat="1">
      <alignment readingOrder="0"/>
    </xf>
    <xf borderId="0" fillId="0" fontId="2" numFmtId="0" xfId="0" applyAlignment="1" applyFont="1">
      <alignment shrinkToFit="0" wrapText="1"/>
    </xf>
    <xf borderId="0" fillId="0" fontId="2" numFmtId="165" xfId="0" applyAlignment="1" applyFont="1" applyNumberFormat="1">
      <alignment readingOrder="0"/>
    </xf>
    <xf borderId="0" fillId="0" fontId="2" numFmtId="0" xfId="0" applyAlignment="1" applyFont="1">
      <alignment readingOrder="0" shrinkToFit="0" wrapText="1"/>
    </xf>
    <xf borderId="0" fillId="0" fontId="2" numFmtId="166" xfId="0" applyAlignment="1" applyFont="1" applyNumberFormat="1">
      <alignment readingOrder="0"/>
    </xf>
  </cellXfs>
  <cellStyles count="1">
    <cellStyle xfId="0" name="Normal" builtinId="0"/>
  </cellStyles>
  <dxfs count="2">
    <dxf>
      <font/>
      <fill>
        <patternFill patternType="solid">
          <fgColor rgb="FFB7E1CD"/>
          <bgColor rgb="FFB7E1CD"/>
        </patternFill>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6.63"/>
    <col customWidth="1" min="4" max="4" width="18.75"/>
    <col customWidth="1" min="5" max="5" width="53.0"/>
    <col customWidth="1" min="6" max="6" width="6.13"/>
    <col customWidth="1" min="7" max="7" width="15.88"/>
    <col customWidth="1" min="8" max="8" width="26.0"/>
    <col customWidth="1" min="9" max="9" width="6.0"/>
    <col customWidth="1" min="10" max="10" width="20.88"/>
  </cols>
  <sheetData>
    <row r="1">
      <c r="A1" s="1" t="s">
        <v>0</v>
      </c>
      <c r="B1" s="1" t="s">
        <v>1</v>
      </c>
      <c r="C1" s="1" t="s">
        <v>2</v>
      </c>
      <c r="D1" s="1" t="s">
        <v>3</v>
      </c>
      <c r="E1" s="1" t="s">
        <v>4</v>
      </c>
      <c r="F1" s="1" t="s">
        <v>5</v>
      </c>
      <c r="G1" s="1" t="s">
        <v>6</v>
      </c>
      <c r="H1" s="1" t="s">
        <v>7</v>
      </c>
      <c r="I1" s="1" t="s">
        <v>8</v>
      </c>
      <c r="J1" s="1" t="s">
        <v>9</v>
      </c>
    </row>
    <row r="2">
      <c r="A2" s="2" t="s">
        <v>10</v>
      </c>
      <c r="B2" s="2" t="s">
        <v>11</v>
      </c>
      <c r="C2" s="2" t="s">
        <v>12</v>
      </c>
      <c r="D2" s="2" t="str">
        <f t="shared" ref="D2:D50" si="1">Trim(Concatenate(B2, " ", C2))</f>
        <v>James Gardner</v>
      </c>
      <c r="H2" s="3">
        <f>Countif('Event Tracking'!F2:F1000, D2)</f>
        <v>0</v>
      </c>
      <c r="I2" s="3" t="str">
        <f t="shared" ref="I2:I50" si="2">if($H2 &gt;= 2, "YES", "NO")</f>
        <v>NO</v>
      </c>
      <c r="J2" s="2" t="s">
        <v>13</v>
      </c>
    </row>
    <row r="3">
      <c r="A3" s="2" t="s">
        <v>14</v>
      </c>
      <c r="B3" s="2" t="s">
        <v>15</v>
      </c>
      <c r="C3" s="2" t="s">
        <v>16</v>
      </c>
      <c r="D3" s="2" t="str">
        <f t="shared" si="1"/>
        <v>Robb Northrup</v>
      </c>
      <c r="E3" s="2" t="s">
        <v>17</v>
      </c>
      <c r="F3" s="2" t="s">
        <v>18</v>
      </c>
      <c r="G3" s="2" t="s">
        <v>19</v>
      </c>
      <c r="I3" s="3" t="str">
        <f t="shared" si="2"/>
        <v>NO</v>
      </c>
      <c r="J3" s="2" t="s">
        <v>13</v>
      </c>
    </row>
    <row r="4">
      <c r="A4" s="2" t="s">
        <v>20</v>
      </c>
      <c r="B4" s="2" t="s">
        <v>21</v>
      </c>
      <c r="C4" s="2" t="s">
        <v>22</v>
      </c>
      <c r="D4" s="2" t="str">
        <f t="shared" si="1"/>
        <v>Zhao Yu</v>
      </c>
      <c r="E4" s="2" t="s">
        <v>23</v>
      </c>
      <c r="F4" s="2" t="s">
        <v>24</v>
      </c>
      <c r="I4" s="3" t="str">
        <f t="shared" si="2"/>
        <v>NO</v>
      </c>
      <c r="J4" s="2" t="s">
        <v>13</v>
      </c>
    </row>
    <row r="5">
      <c r="A5" s="2" t="s">
        <v>25</v>
      </c>
      <c r="B5" s="2" t="s">
        <v>26</v>
      </c>
      <c r="C5" s="2" t="s">
        <v>27</v>
      </c>
      <c r="D5" s="2" t="str">
        <f t="shared" si="1"/>
        <v>Dylan Bergsen</v>
      </c>
      <c r="I5" s="3" t="str">
        <f t="shared" si="2"/>
        <v>NO</v>
      </c>
      <c r="J5" s="2" t="s">
        <v>28</v>
      </c>
    </row>
    <row r="6">
      <c r="A6" s="2" t="s">
        <v>29</v>
      </c>
      <c r="B6" s="2" t="s">
        <v>30</v>
      </c>
      <c r="C6" s="2" t="s">
        <v>31</v>
      </c>
      <c r="D6" s="2" t="str">
        <f t="shared" si="1"/>
        <v>Nick Eastwood</v>
      </c>
      <c r="I6" s="3" t="str">
        <f t="shared" si="2"/>
        <v>NO</v>
      </c>
      <c r="J6" s="2" t="s">
        <v>28</v>
      </c>
    </row>
    <row r="7">
      <c r="A7" s="2" t="s">
        <v>32</v>
      </c>
      <c r="B7" s="2" t="s">
        <v>33</v>
      </c>
      <c r="C7" s="2" t="s">
        <v>34</v>
      </c>
      <c r="D7" s="2" t="str">
        <f t="shared" si="1"/>
        <v>PJ Duquette</v>
      </c>
      <c r="I7" s="3" t="str">
        <f t="shared" si="2"/>
        <v>NO</v>
      </c>
      <c r="J7" s="2" t="s">
        <v>28</v>
      </c>
    </row>
    <row r="8">
      <c r="A8" s="2" t="s">
        <v>35</v>
      </c>
      <c r="B8" s="2" t="s">
        <v>36</v>
      </c>
      <c r="C8" s="2" t="s">
        <v>37</v>
      </c>
      <c r="D8" s="2" t="str">
        <f t="shared" si="1"/>
        <v>Alex Totter</v>
      </c>
      <c r="I8" s="3" t="str">
        <f t="shared" si="2"/>
        <v>NO</v>
      </c>
      <c r="J8" s="2" t="s">
        <v>28</v>
      </c>
    </row>
    <row r="9">
      <c r="A9" s="2" t="s">
        <v>38</v>
      </c>
      <c r="B9" s="2" t="s">
        <v>39</v>
      </c>
      <c r="C9" s="2"/>
      <c r="D9" s="2" t="str">
        <f t="shared" si="1"/>
        <v>Alvaro</v>
      </c>
      <c r="I9" s="3" t="str">
        <f t="shared" si="2"/>
        <v>NO</v>
      </c>
      <c r="J9" s="2" t="s">
        <v>28</v>
      </c>
    </row>
    <row r="10">
      <c r="A10" s="2" t="s">
        <v>38</v>
      </c>
      <c r="B10" s="2" t="s">
        <v>40</v>
      </c>
      <c r="C10" s="2" t="s">
        <v>41</v>
      </c>
      <c r="D10" s="2" t="str">
        <f t="shared" si="1"/>
        <v>Andrew Izzo</v>
      </c>
      <c r="I10" s="3" t="str">
        <f t="shared" si="2"/>
        <v>NO</v>
      </c>
      <c r="J10" s="2" t="s">
        <v>28</v>
      </c>
    </row>
    <row r="11">
      <c r="A11" s="2" t="s">
        <v>42</v>
      </c>
      <c r="B11" s="2" t="s">
        <v>43</v>
      </c>
      <c r="C11" s="2" t="s">
        <v>44</v>
      </c>
      <c r="D11" s="2" t="str">
        <f t="shared" si="1"/>
        <v>Boni Jacinto</v>
      </c>
      <c r="I11" s="3" t="str">
        <f t="shared" si="2"/>
        <v>NO</v>
      </c>
      <c r="J11" s="2" t="s">
        <v>28</v>
      </c>
    </row>
    <row r="12">
      <c r="A12" s="2" t="s">
        <v>45</v>
      </c>
      <c r="B12" s="2" t="s">
        <v>46</v>
      </c>
      <c r="C12" s="2" t="s">
        <v>47</v>
      </c>
      <c r="D12" s="2" t="str">
        <f t="shared" si="1"/>
        <v>Don Cortez</v>
      </c>
      <c r="I12" s="3" t="str">
        <f t="shared" si="2"/>
        <v>NO</v>
      </c>
      <c r="J12" s="2" t="s">
        <v>13</v>
      </c>
    </row>
    <row r="13">
      <c r="A13" s="2" t="s">
        <v>38</v>
      </c>
      <c r="B13" s="2" t="s">
        <v>48</v>
      </c>
      <c r="C13" s="2" t="s">
        <v>49</v>
      </c>
      <c r="D13" s="2" t="str">
        <f t="shared" si="1"/>
        <v>Jack McKinzie</v>
      </c>
      <c r="I13" s="3" t="str">
        <f t="shared" si="2"/>
        <v>NO</v>
      </c>
      <c r="J13" s="2" t="s">
        <v>28</v>
      </c>
    </row>
    <row r="14">
      <c r="A14" s="2" t="s">
        <v>38</v>
      </c>
      <c r="B14" s="2" t="s">
        <v>50</v>
      </c>
      <c r="C14" s="2" t="s">
        <v>51</v>
      </c>
      <c r="D14" s="2" t="str">
        <f t="shared" si="1"/>
        <v>Josh Snow</v>
      </c>
      <c r="I14" s="3" t="str">
        <f t="shared" si="2"/>
        <v>NO</v>
      </c>
      <c r="J14" s="2" t="s">
        <v>28</v>
      </c>
    </row>
    <row r="15">
      <c r="A15" s="2" t="s">
        <v>42</v>
      </c>
      <c r="B15" s="2" t="s">
        <v>52</v>
      </c>
      <c r="C15" s="2" t="s">
        <v>53</v>
      </c>
      <c r="D15" s="2" t="str">
        <f t="shared" si="1"/>
        <v>Joe Yarhi</v>
      </c>
      <c r="I15" s="3" t="str">
        <f t="shared" si="2"/>
        <v>NO</v>
      </c>
      <c r="J15" s="2" t="s">
        <v>28</v>
      </c>
    </row>
    <row r="16">
      <c r="A16" s="2" t="s">
        <v>42</v>
      </c>
      <c r="B16" s="2" t="s">
        <v>54</v>
      </c>
      <c r="C16" s="2" t="s">
        <v>55</v>
      </c>
      <c r="D16" s="2" t="str">
        <f t="shared" si="1"/>
        <v>Juan Camacho-Marales</v>
      </c>
      <c r="I16" s="3" t="str">
        <f t="shared" si="2"/>
        <v>NO</v>
      </c>
      <c r="J16" s="2" t="s">
        <v>28</v>
      </c>
    </row>
    <row r="17">
      <c r="A17" s="2" t="s">
        <v>38</v>
      </c>
      <c r="B17" s="2" t="s">
        <v>56</v>
      </c>
      <c r="C17" s="2" t="s">
        <v>57</v>
      </c>
      <c r="D17" s="2" t="str">
        <f t="shared" si="1"/>
        <v>Kevin Malone</v>
      </c>
      <c r="I17" s="3" t="str">
        <f t="shared" si="2"/>
        <v>NO</v>
      </c>
      <c r="J17" s="2" t="s">
        <v>28</v>
      </c>
    </row>
    <row r="18">
      <c r="A18" s="2" t="s">
        <v>42</v>
      </c>
      <c r="B18" s="2" t="s">
        <v>58</v>
      </c>
      <c r="C18" s="2" t="s">
        <v>59</v>
      </c>
      <c r="D18" s="2" t="str">
        <f t="shared" si="1"/>
        <v>Leo Pankratz</v>
      </c>
      <c r="I18" s="3" t="str">
        <f t="shared" si="2"/>
        <v>NO</v>
      </c>
      <c r="J18" s="2" t="s">
        <v>28</v>
      </c>
    </row>
    <row r="19">
      <c r="A19" s="2" t="s">
        <v>60</v>
      </c>
      <c r="B19" s="2" t="s">
        <v>61</v>
      </c>
      <c r="C19" s="2" t="s">
        <v>62</v>
      </c>
      <c r="D19" s="2" t="str">
        <f t="shared" si="1"/>
        <v>Matthew Combs</v>
      </c>
      <c r="I19" s="3" t="str">
        <f t="shared" si="2"/>
        <v>NO</v>
      </c>
      <c r="J19" s="2" t="s">
        <v>28</v>
      </c>
    </row>
    <row r="20">
      <c r="A20" s="2" t="s">
        <v>42</v>
      </c>
      <c r="B20" s="2" t="s">
        <v>63</v>
      </c>
      <c r="C20" s="2" t="s">
        <v>64</v>
      </c>
      <c r="D20" s="2" t="str">
        <f t="shared" si="1"/>
        <v>Noah Backman-Dodge</v>
      </c>
      <c r="I20" s="3" t="str">
        <f t="shared" si="2"/>
        <v>NO</v>
      </c>
      <c r="J20" s="2" t="s">
        <v>28</v>
      </c>
    </row>
    <row r="21">
      <c r="A21" s="2" t="s">
        <v>38</v>
      </c>
      <c r="B21" s="2" t="s">
        <v>65</v>
      </c>
      <c r="C21" s="2" t="s">
        <v>66</v>
      </c>
      <c r="D21" s="2" t="str">
        <f t="shared" si="1"/>
        <v>Patrick Cendana</v>
      </c>
      <c r="I21" s="3" t="str">
        <f t="shared" si="2"/>
        <v>NO</v>
      </c>
      <c r="J21" s="2" t="s">
        <v>28</v>
      </c>
    </row>
    <row r="22">
      <c r="A22" s="2" t="s">
        <v>67</v>
      </c>
      <c r="B22" s="2" t="s">
        <v>65</v>
      </c>
      <c r="C22" s="2" t="s">
        <v>68</v>
      </c>
      <c r="D22" s="2" t="str">
        <f t="shared" si="1"/>
        <v>Patrick Cummings</v>
      </c>
      <c r="I22" s="3" t="str">
        <f t="shared" si="2"/>
        <v>NO</v>
      </c>
      <c r="J22" s="2" t="s">
        <v>69</v>
      </c>
    </row>
    <row r="23">
      <c r="A23" s="2" t="s">
        <v>35</v>
      </c>
      <c r="B23" s="2" t="s">
        <v>70</v>
      </c>
      <c r="C23" s="2" t="s">
        <v>53</v>
      </c>
      <c r="D23" s="2" t="str">
        <f t="shared" si="1"/>
        <v>Ryan Yarhi</v>
      </c>
      <c r="I23" s="3" t="str">
        <f t="shared" si="2"/>
        <v>NO</v>
      </c>
      <c r="J23" s="2" t="s">
        <v>13</v>
      </c>
    </row>
    <row r="24">
      <c r="A24" s="2" t="s">
        <v>67</v>
      </c>
      <c r="B24" s="2" t="s">
        <v>71</v>
      </c>
      <c r="C24" s="2" t="s">
        <v>47</v>
      </c>
      <c r="D24" s="2" t="str">
        <f t="shared" si="1"/>
        <v>Xavier Cortez</v>
      </c>
      <c r="I24" s="3" t="str">
        <f t="shared" si="2"/>
        <v>NO</v>
      </c>
      <c r="J24" s="2" t="s">
        <v>67</v>
      </c>
    </row>
    <row r="25">
      <c r="A25" s="2" t="s">
        <v>38</v>
      </c>
      <c r="B25" s="2" t="s">
        <v>61</v>
      </c>
      <c r="C25" s="2" t="s">
        <v>72</v>
      </c>
      <c r="D25" s="2" t="str">
        <f t="shared" si="1"/>
        <v>Matthew Lockerby</v>
      </c>
      <c r="I25" s="3" t="str">
        <f t="shared" si="2"/>
        <v>NO</v>
      </c>
      <c r="J25" s="2" t="s">
        <v>28</v>
      </c>
    </row>
    <row r="26">
      <c r="A26" s="2" t="s">
        <v>42</v>
      </c>
      <c r="B26" s="2" t="s">
        <v>73</v>
      </c>
      <c r="C26" s="2" t="s">
        <v>74</v>
      </c>
      <c r="D26" s="2" t="str">
        <f t="shared" si="1"/>
        <v>Tyler Cholico</v>
      </c>
      <c r="I26" s="3" t="str">
        <f t="shared" si="2"/>
        <v>NO</v>
      </c>
      <c r="J26" s="2" t="s">
        <v>69</v>
      </c>
    </row>
    <row r="27">
      <c r="A27" s="2" t="s">
        <v>38</v>
      </c>
      <c r="B27" s="2" t="s">
        <v>75</v>
      </c>
      <c r="C27" s="2" t="s">
        <v>76</v>
      </c>
      <c r="D27" s="2" t="str">
        <f t="shared" si="1"/>
        <v>Nathan Soares</v>
      </c>
      <c r="I27" s="3" t="str">
        <f t="shared" si="2"/>
        <v>NO</v>
      </c>
      <c r="J27" s="2" t="s">
        <v>28</v>
      </c>
    </row>
    <row r="28">
      <c r="A28" s="2" t="s">
        <v>38</v>
      </c>
      <c r="B28" s="2" t="s">
        <v>77</v>
      </c>
      <c r="C28" s="2" t="s">
        <v>78</v>
      </c>
      <c r="D28" s="2" t="str">
        <f t="shared" si="1"/>
        <v>Matthias Loop</v>
      </c>
      <c r="I28" s="3" t="str">
        <f t="shared" si="2"/>
        <v>NO</v>
      </c>
      <c r="J28" s="2" t="s">
        <v>28</v>
      </c>
    </row>
    <row r="29">
      <c r="D29" s="2" t="str">
        <f t="shared" si="1"/>
        <v/>
      </c>
      <c r="I29" s="3" t="str">
        <f t="shared" si="2"/>
        <v>NO</v>
      </c>
      <c r="J29" s="3"/>
    </row>
    <row r="30">
      <c r="D30" s="2" t="str">
        <f t="shared" si="1"/>
        <v/>
      </c>
      <c r="I30" s="3" t="str">
        <f t="shared" si="2"/>
        <v>NO</v>
      </c>
      <c r="J30" s="3"/>
    </row>
    <row r="31">
      <c r="D31" s="2" t="str">
        <f t="shared" si="1"/>
        <v/>
      </c>
      <c r="I31" s="3" t="str">
        <f t="shared" si="2"/>
        <v>NO</v>
      </c>
      <c r="J31" s="3"/>
    </row>
    <row r="32">
      <c r="D32" s="2" t="str">
        <f t="shared" si="1"/>
        <v/>
      </c>
      <c r="I32" s="3" t="str">
        <f t="shared" si="2"/>
        <v>NO</v>
      </c>
      <c r="J32" s="3"/>
    </row>
    <row r="33">
      <c r="D33" s="2" t="str">
        <f t="shared" si="1"/>
        <v/>
      </c>
      <c r="I33" s="3" t="str">
        <f t="shared" si="2"/>
        <v>NO</v>
      </c>
      <c r="J33" s="3"/>
    </row>
    <row r="34">
      <c r="D34" s="2" t="str">
        <f t="shared" si="1"/>
        <v/>
      </c>
      <c r="I34" s="3" t="str">
        <f t="shared" si="2"/>
        <v>NO</v>
      </c>
      <c r="J34" s="3"/>
    </row>
    <row r="35">
      <c r="D35" s="2" t="str">
        <f t="shared" si="1"/>
        <v/>
      </c>
      <c r="I35" s="3" t="str">
        <f t="shared" si="2"/>
        <v>NO</v>
      </c>
      <c r="J35" s="3"/>
    </row>
    <row r="36">
      <c r="D36" s="2" t="str">
        <f t="shared" si="1"/>
        <v/>
      </c>
      <c r="I36" s="3" t="str">
        <f t="shared" si="2"/>
        <v>NO</v>
      </c>
      <c r="J36" s="3"/>
    </row>
    <row r="37">
      <c r="D37" s="2" t="str">
        <f t="shared" si="1"/>
        <v/>
      </c>
      <c r="I37" s="3" t="str">
        <f t="shared" si="2"/>
        <v>NO</v>
      </c>
      <c r="J37" s="3"/>
    </row>
    <row r="38">
      <c r="D38" s="2" t="str">
        <f t="shared" si="1"/>
        <v/>
      </c>
      <c r="I38" s="3" t="str">
        <f t="shared" si="2"/>
        <v>NO</v>
      </c>
      <c r="J38" s="3"/>
    </row>
    <row r="39">
      <c r="D39" s="2" t="str">
        <f t="shared" si="1"/>
        <v/>
      </c>
      <c r="I39" s="3" t="str">
        <f t="shared" si="2"/>
        <v>NO</v>
      </c>
      <c r="J39" s="3"/>
    </row>
    <row r="40">
      <c r="D40" s="2" t="str">
        <f t="shared" si="1"/>
        <v/>
      </c>
      <c r="I40" s="3" t="str">
        <f t="shared" si="2"/>
        <v>NO</v>
      </c>
      <c r="J40" s="3"/>
    </row>
    <row r="41">
      <c r="D41" s="2" t="str">
        <f t="shared" si="1"/>
        <v/>
      </c>
      <c r="I41" s="3" t="str">
        <f t="shared" si="2"/>
        <v>NO</v>
      </c>
      <c r="J41" s="3"/>
    </row>
    <row r="42">
      <c r="D42" s="2" t="str">
        <f t="shared" si="1"/>
        <v/>
      </c>
      <c r="I42" s="3" t="str">
        <f t="shared" si="2"/>
        <v>NO</v>
      </c>
      <c r="J42" s="3"/>
    </row>
    <row r="43">
      <c r="D43" s="2" t="str">
        <f t="shared" si="1"/>
        <v/>
      </c>
      <c r="I43" s="3" t="str">
        <f t="shared" si="2"/>
        <v>NO</v>
      </c>
      <c r="J43" s="3"/>
    </row>
    <row r="44">
      <c r="D44" s="2" t="str">
        <f t="shared" si="1"/>
        <v/>
      </c>
      <c r="I44" s="3" t="str">
        <f t="shared" si="2"/>
        <v>NO</v>
      </c>
      <c r="J44" s="3"/>
    </row>
    <row r="45">
      <c r="D45" s="2" t="str">
        <f t="shared" si="1"/>
        <v/>
      </c>
      <c r="I45" s="3" t="str">
        <f t="shared" si="2"/>
        <v>NO</v>
      </c>
      <c r="J45" s="3"/>
    </row>
    <row r="46">
      <c r="D46" s="2" t="str">
        <f t="shared" si="1"/>
        <v/>
      </c>
      <c r="I46" s="3" t="str">
        <f t="shared" si="2"/>
        <v>NO</v>
      </c>
      <c r="J46" s="3"/>
    </row>
    <row r="47">
      <c r="D47" s="2" t="str">
        <f t="shared" si="1"/>
        <v/>
      </c>
      <c r="I47" s="3" t="str">
        <f t="shared" si="2"/>
        <v>NO</v>
      </c>
      <c r="J47" s="3"/>
    </row>
    <row r="48">
      <c r="D48" s="2" t="str">
        <f t="shared" si="1"/>
        <v/>
      </c>
      <c r="I48" s="3" t="str">
        <f t="shared" si="2"/>
        <v>NO</v>
      </c>
      <c r="J48" s="3"/>
    </row>
    <row r="49">
      <c r="D49" s="2" t="str">
        <f t="shared" si="1"/>
        <v/>
      </c>
      <c r="I49" s="3" t="str">
        <f t="shared" si="2"/>
        <v>NO</v>
      </c>
      <c r="J49" s="3"/>
    </row>
    <row r="50">
      <c r="D50" s="2" t="str">
        <f t="shared" si="1"/>
        <v/>
      </c>
      <c r="I50" s="3" t="str">
        <f t="shared" si="2"/>
        <v>NO</v>
      </c>
      <c r="J50" s="3"/>
    </row>
    <row r="51">
      <c r="J51" s="3"/>
    </row>
    <row r="52">
      <c r="J52" s="3"/>
    </row>
    <row r="53">
      <c r="J53" s="3"/>
    </row>
    <row r="54">
      <c r="J54" s="3"/>
    </row>
    <row r="55">
      <c r="J55" s="3"/>
    </row>
    <row r="56">
      <c r="J56" s="3"/>
    </row>
    <row r="57">
      <c r="J57" s="3"/>
    </row>
    <row r="58">
      <c r="J58" s="3"/>
    </row>
    <row r="59">
      <c r="J59" s="3"/>
    </row>
    <row r="60">
      <c r="J60" s="3"/>
    </row>
    <row r="61">
      <c r="J61" s="3"/>
    </row>
    <row r="62">
      <c r="J62" s="3"/>
    </row>
    <row r="63">
      <c r="J63" s="3"/>
    </row>
    <row r="64">
      <c r="J64" s="3"/>
    </row>
    <row r="65">
      <c r="J65" s="3"/>
    </row>
    <row r="66">
      <c r="J66" s="3"/>
    </row>
    <row r="67">
      <c r="J67" s="3"/>
    </row>
    <row r="68">
      <c r="J68" s="3"/>
    </row>
    <row r="69">
      <c r="J69" s="3"/>
    </row>
    <row r="70">
      <c r="J70" s="3"/>
    </row>
    <row r="71">
      <c r="J71" s="3"/>
    </row>
    <row r="72">
      <c r="J72" s="3"/>
    </row>
    <row r="73">
      <c r="J73" s="3"/>
    </row>
    <row r="74">
      <c r="J74" s="3"/>
    </row>
    <row r="75">
      <c r="J75" s="3"/>
    </row>
    <row r="76">
      <c r="J76" s="3"/>
    </row>
    <row r="77">
      <c r="J77" s="3"/>
    </row>
    <row r="78">
      <c r="J78" s="3"/>
    </row>
    <row r="79">
      <c r="J79" s="3"/>
    </row>
    <row r="80">
      <c r="J80" s="3"/>
    </row>
    <row r="81">
      <c r="J81" s="3"/>
    </row>
    <row r="82">
      <c r="J82" s="3"/>
    </row>
    <row r="83">
      <c r="J83" s="3"/>
    </row>
    <row r="84">
      <c r="J84" s="3"/>
    </row>
    <row r="85">
      <c r="J85" s="3"/>
    </row>
    <row r="86">
      <c r="J86" s="3"/>
    </row>
    <row r="87">
      <c r="J87" s="3"/>
    </row>
    <row r="88">
      <c r="J88" s="3"/>
    </row>
    <row r="89">
      <c r="J89" s="3"/>
    </row>
    <row r="90">
      <c r="J90" s="3"/>
    </row>
    <row r="91">
      <c r="J91" s="3"/>
    </row>
    <row r="92">
      <c r="J92" s="3"/>
    </row>
    <row r="93">
      <c r="J93" s="3"/>
    </row>
    <row r="94">
      <c r="J94" s="3"/>
    </row>
    <row r="95">
      <c r="J95" s="3"/>
    </row>
    <row r="96">
      <c r="J96" s="3"/>
    </row>
    <row r="97">
      <c r="J97" s="3"/>
    </row>
    <row r="98">
      <c r="J98" s="3"/>
    </row>
    <row r="99">
      <c r="J99" s="3"/>
    </row>
    <row r="100">
      <c r="J100" s="3"/>
    </row>
    <row r="101">
      <c r="J101" s="3"/>
    </row>
    <row r="102">
      <c r="J102" s="3"/>
    </row>
    <row r="103">
      <c r="J103" s="3"/>
    </row>
    <row r="104">
      <c r="J104" s="3"/>
    </row>
    <row r="105">
      <c r="J105" s="3"/>
    </row>
    <row r="106">
      <c r="J106" s="3"/>
    </row>
    <row r="107">
      <c r="J107" s="3"/>
    </row>
    <row r="108">
      <c r="J108" s="3"/>
    </row>
    <row r="109">
      <c r="J109" s="3"/>
    </row>
    <row r="110">
      <c r="J110" s="3"/>
    </row>
    <row r="111">
      <c r="J111" s="3"/>
    </row>
    <row r="112">
      <c r="J112" s="3"/>
    </row>
    <row r="113">
      <c r="J113" s="3"/>
    </row>
    <row r="114">
      <c r="J114" s="3"/>
    </row>
    <row r="115">
      <c r="J115" s="3"/>
    </row>
    <row r="116">
      <c r="J116" s="3"/>
    </row>
    <row r="117">
      <c r="J117" s="3"/>
    </row>
    <row r="118">
      <c r="J118" s="3"/>
    </row>
    <row r="119">
      <c r="J119" s="3"/>
    </row>
    <row r="120">
      <c r="J120" s="3"/>
    </row>
    <row r="121">
      <c r="J121" s="3"/>
    </row>
    <row r="122">
      <c r="J122" s="3"/>
    </row>
    <row r="123">
      <c r="J123" s="3"/>
    </row>
    <row r="124">
      <c r="J124" s="3"/>
    </row>
    <row r="125">
      <c r="J125" s="3"/>
    </row>
    <row r="126">
      <c r="J126" s="3"/>
    </row>
    <row r="127">
      <c r="J127" s="3"/>
    </row>
    <row r="128">
      <c r="J128" s="3"/>
    </row>
    <row r="129">
      <c r="J129" s="3"/>
    </row>
    <row r="130">
      <c r="J130" s="3"/>
    </row>
    <row r="131">
      <c r="J131" s="3"/>
    </row>
    <row r="132">
      <c r="J132" s="3"/>
    </row>
    <row r="133">
      <c r="J133" s="3"/>
    </row>
    <row r="134">
      <c r="J134" s="3"/>
    </row>
    <row r="135">
      <c r="J135" s="3"/>
    </row>
    <row r="136">
      <c r="J136" s="3"/>
    </row>
    <row r="137">
      <c r="J137" s="3"/>
    </row>
    <row r="138">
      <c r="J138" s="3"/>
    </row>
    <row r="139">
      <c r="J139" s="3"/>
    </row>
    <row r="140">
      <c r="J140" s="3"/>
    </row>
    <row r="141">
      <c r="J141" s="3"/>
    </row>
    <row r="142">
      <c r="J142" s="3"/>
    </row>
    <row r="143">
      <c r="J143" s="3"/>
    </row>
    <row r="144">
      <c r="J144" s="3"/>
    </row>
    <row r="145">
      <c r="J145" s="3"/>
    </row>
    <row r="146">
      <c r="J146" s="3"/>
    </row>
    <row r="147">
      <c r="J147" s="3"/>
    </row>
    <row r="148">
      <c r="J148" s="3"/>
    </row>
    <row r="149">
      <c r="J149" s="3"/>
    </row>
    <row r="150">
      <c r="J150" s="3"/>
    </row>
    <row r="151">
      <c r="J151" s="3"/>
    </row>
    <row r="152">
      <c r="J152" s="3"/>
    </row>
    <row r="153">
      <c r="J153" s="3"/>
    </row>
    <row r="154">
      <c r="J154" s="3"/>
    </row>
    <row r="155">
      <c r="J155" s="3"/>
    </row>
    <row r="156">
      <c r="J156" s="3"/>
    </row>
    <row r="157">
      <c r="J157" s="3"/>
    </row>
    <row r="158">
      <c r="J158" s="3"/>
    </row>
    <row r="159">
      <c r="J159" s="3"/>
    </row>
    <row r="160">
      <c r="J160" s="3"/>
    </row>
    <row r="161">
      <c r="J161" s="3"/>
    </row>
    <row r="162">
      <c r="J162" s="3"/>
    </row>
    <row r="163">
      <c r="J163" s="3"/>
    </row>
    <row r="164">
      <c r="J164" s="3"/>
    </row>
    <row r="165">
      <c r="J165" s="3"/>
    </row>
    <row r="166">
      <c r="J166" s="3"/>
    </row>
    <row r="167">
      <c r="J167" s="3"/>
    </row>
    <row r="168">
      <c r="J168" s="3"/>
    </row>
    <row r="169">
      <c r="J169" s="3"/>
    </row>
    <row r="170">
      <c r="J170" s="3"/>
    </row>
    <row r="171">
      <c r="J171" s="3"/>
    </row>
    <row r="172">
      <c r="J172" s="3"/>
    </row>
    <row r="173">
      <c r="J173" s="3"/>
    </row>
    <row r="174">
      <c r="J174" s="3"/>
    </row>
    <row r="175">
      <c r="J175" s="3"/>
    </row>
    <row r="176">
      <c r="J176" s="3"/>
    </row>
    <row r="177">
      <c r="J177" s="3"/>
    </row>
    <row r="178">
      <c r="J178" s="3"/>
    </row>
    <row r="179">
      <c r="J179" s="3"/>
    </row>
    <row r="180">
      <c r="J180" s="3"/>
    </row>
    <row r="181">
      <c r="J181" s="3"/>
    </row>
    <row r="182">
      <c r="J182" s="3"/>
    </row>
    <row r="183">
      <c r="J183" s="3"/>
    </row>
    <row r="184">
      <c r="J184" s="3"/>
    </row>
    <row r="185">
      <c r="J185" s="3"/>
    </row>
    <row r="186">
      <c r="J186" s="3"/>
    </row>
    <row r="187">
      <c r="J187" s="3"/>
    </row>
    <row r="188">
      <c r="J188" s="3"/>
    </row>
    <row r="189">
      <c r="J189" s="3"/>
    </row>
    <row r="190">
      <c r="J190" s="3"/>
    </row>
    <row r="191">
      <c r="J191" s="3"/>
    </row>
    <row r="192">
      <c r="J192" s="3"/>
    </row>
    <row r="193">
      <c r="J193" s="3"/>
    </row>
    <row r="194">
      <c r="J194" s="3"/>
    </row>
    <row r="195">
      <c r="J195" s="3"/>
    </row>
    <row r="196">
      <c r="J196" s="3"/>
    </row>
    <row r="197">
      <c r="J197" s="3"/>
    </row>
    <row r="198">
      <c r="J198" s="3"/>
    </row>
    <row r="199">
      <c r="J199" s="3"/>
    </row>
    <row r="200">
      <c r="J200" s="3"/>
    </row>
    <row r="201">
      <c r="J201" s="3"/>
    </row>
    <row r="202">
      <c r="J202" s="3"/>
    </row>
    <row r="203">
      <c r="J203" s="3"/>
    </row>
    <row r="204">
      <c r="J204" s="3"/>
    </row>
    <row r="205">
      <c r="J205" s="3"/>
    </row>
    <row r="206">
      <c r="J206" s="3"/>
    </row>
    <row r="207">
      <c r="J207" s="3"/>
    </row>
    <row r="208">
      <c r="J208" s="3"/>
    </row>
    <row r="209">
      <c r="J209" s="3"/>
    </row>
    <row r="210">
      <c r="J210" s="3"/>
    </row>
    <row r="211">
      <c r="J211" s="3"/>
    </row>
    <row r="212">
      <c r="J212" s="3"/>
    </row>
    <row r="213">
      <c r="J213" s="3"/>
    </row>
    <row r="214">
      <c r="J214" s="3"/>
    </row>
    <row r="215">
      <c r="J215" s="3"/>
    </row>
    <row r="216">
      <c r="J216" s="3"/>
    </row>
    <row r="217">
      <c r="J217" s="3"/>
    </row>
    <row r="218">
      <c r="J218" s="3"/>
    </row>
    <row r="219">
      <c r="J219" s="3"/>
    </row>
    <row r="220">
      <c r="J220" s="3"/>
    </row>
    <row r="221">
      <c r="J221" s="3"/>
    </row>
    <row r="222">
      <c r="J222" s="3"/>
    </row>
    <row r="223">
      <c r="J223" s="3"/>
    </row>
    <row r="224">
      <c r="J224" s="3"/>
    </row>
    <row r="225">
      <c r="J225" s="3"/>
    </row>
    <row r="226">
      <c r="J226" s="3"/>
    </row>
    <row r="227">
      <c r="J227" s="3"/>
    </row>
    <row r="228">
      <c r="J228" s="3"/>
    </row>
    <row r="229">
      <c r="J229" s="3"/>
    </row>
    <row r="230">
      <c r="J230" s="3"/>
    </row>
    <row r="231">
      <c r="J231" s="3"/>
    </row>
    <row r="232">
      <c r="J232" s="3"/>
    </row>
    <row r="233">
      <c r="J233" s="3"/>
    </row>
    <row r="234">
      <c r="J234" s="3"/>
    </row>
    <row r="235">
      <c r="J235" s="3"/>
    </row>
    <row r="236">
      <c r="J236" s="3"/>
    </row>
    <row r="237">
      <c r="J237" s="3"/>
    </row>
    <row r="238">
      <c r="J238" s="3"/>
    </row>
    <row r="239">
      <c r="J239" s="3"/>
    </row>
    <row r="240">
      <c r="J240" s="3"/>
    </row>
    <row r="241">
      <c r="J241" s="3"/>
    </row>
    <row r="242">
      <c r="J242" s="3"/>
    </row>
    <row r="243">
      <c r="J243" s="3"/>
    </row>
    <row r="244">
      <c r="J244" s="3"/>
    </row>
    <row r="245">
      <c r="J245" s="3"/>
    </row>
    <row r="246">
      <c r="J246" s="3"/>
    </row>
    <row r="247">
      <c r="J247" s="3"/>
    </row>
    <row r="248">
      <c r="J248" s="3"/>
    </row>
    <row r="249">
      <c r="J249" s="3"/>
    </row>
    <row r="250">
      <c r="J250" s="3"/>
    </row>
    <row r="251">
      <c r="J251" s="3"/>
    </row>
    <row r="252">
      <c r="J252" s="3"/>
    </row>
    <row r="253">
      <c r="J253" s="3"/>
    </row>
    <row r="254">
      <c r="J254" s="3"/>
    </row>
    <row r="255">
      <c r="J255" s="3"/>
    </row>
    <row r="256">
      <c r="J256" s="3"/>
    </row>
    <row r="257">
      <c r="J257" s="3"/>
    </row>
    <row r="258">
      <c r="J258" s="3"/>
    </row>
    <row r="259">
      <c r="J259" s="3"/>
    </row>
    <row r="260">
      <c r="J260" s="3"/>
    </row>
    <row r="261">
      <c r="J261" s="3"/>
    </row>
    <row r="262">
      <c r="J262" s="3"/>
    </row>
    <row r="263">
      <c r="J263" s="3"/>
    </row>
    <row r="264">
      <c r="J264" s="3"/>
    </row>
    <row r="265">
      <c r="J265" s="3"/>
    </row>
    <row r="266">
      <c r="J266" s="3"/>
    </row>
    <row r="267">
      <c r="J267" s="3"/>
    </row>
    <row r="268">
      <c r="J268" s="3"/>
    </row>
    <row r="269">
      <c r="J269" s="3"/>
    </row>
    <row r="270">
      <c r="J270" s="3"/>
    </row>
    <row r="271">
      <c r="J271" s="3"/>
    </row>
    <row r="272">
      <c r="J272" s="3"/>
    </row>
    <row r="273">
      <c r="J273" s="3"/>
    </row>
    <row r="274">
      <c r="J274" s="3"/>
    </row>
    <row r="275">
      <c r="J275" s="3"/>
    </row>
    <row r="276">
      <c r="J276" s="3"/>
    </row>
    <row r="277">
      <c r="J277" s="3"/>
    </row>
    <row r="278">
      <c r="J278" s="3"/>
    </row>
    <row r="279">
      <c r="J279" s="3"/>
    </row>
    <row r="280">
      <c r="J280" s="3"/>
    </row>
    <row r="281">
      <c r="J281" s="3"/>
    </row>
    <row r="282">
      <c r="J282" s="3"/>
    </row>
    <row r="283">
      <c r="J283" s="3"/>
    </row>
    <row r="284">
      <c r="J284" s="3"/>
    </row>
    <row r="285">
      <c r="J285" s="3"/>
    </row>
    <row r="286">
      <c r="J286" s="3"/>
    </row>
    <row r="287">
      <c r="J287" s="3"/>
    </row>
    <row r="288">
      <c r="J288" s="3"/>
    </row>
    <row r="289">
      <c r="J289" s="3"/>
    </row>
    <row r="290">
      <c r="J290" s="3"/>
    </row>
    <row r="291">
      <c r="J291" s="3"/>
    </row>
    <row r="292">
      <c r="J292" s="3"/>
    </row>
    <row r="293">
      <c r="J293" s="3"/>
    </row>
    <row r="294">
      <c r="J294" s="3"/>
    </row>
    <row r="295">
      <c r="J295" s="3"/>
    </row>
    <row r="296">
      <c r="J296" s="3"/>
    </row>
    <row r="297">
      <c r="J297" s="3"/>
    </row>
    <row r="298">
      <c r="J298" s="3"/>
    </row>
    <row r="299">
      <c r="J299" s="3"/>
    </row>
    <row r="300">
      <c r="J300" s="3"/>
    </row>
    <row r="301">
      <c r="J301" s="3"/>
    </row>
    <row r="302">
      <c r="J302" s="3"/>
    </row>
    <row r="303">
      <c r="J303" s="3"/>
    </row>
    <row r="304">
      <c r="J304" s="3"/>
    </row>
    <row r="305">
      <c r="J305" s="3"/>
    </row>
    <row r="306">
      <c r="J306" s="3"/>
    </row>
    <row r="307">
      <c r="J307" s="3"/>
    </row>
    <row r="308">
      <c r="J308" s="3"/>
    </row>
    <row r="309">
      <c r="J309" s="3"/>
    </row>
    <row r="310">
      <c r="J310" s="3"/>
    </row>
    <row r="311">
      <c r="J311" s="3"/>
    </row>
    <row r="312">
      <c r="J312" s="3"/>
    </row>
    <row r="313">
      <c r="J313" s="3"/>
    </row>
    <row r="314">
      <c r="J314" s="3"/>
    </row>
    <row r="315">
      <c r="J315" s="3"/>
    </row>
    <row r="316">
      <c r="J316" s="3"/>
    </row>
    <row r="317">
      <c r="J317" s="3"/>
    </row>
    <row r="318">
      <c r="J318" s="3"/>
    </row>
    <row r="319">
      <c r="J319" s="3"/>
    </row>
    <row r="320">
      <c r="J320" s="3"/>
    </row>
    <row r="321">
      <c r="J321" s="3"/>
    </row>
    <row r="322">
      <c r="J322" s="3"/>
    </row>
    <row r="323">
      <c r="J323" s="3"/>
    </row>
    <row r="324">
      <c r="J324" s="3"/>
    </row>
    <row r="325">
      <c r="J325" s="3"/>
    </row>
    <row r="326">
      <c r="J326" s="3"/>
    </row>
    <row r="327">
      <c r="J327" s="3"/>
    </row>
    <row r="328">
      <c r="J328" s="3"/>
    </row>
    <row r="329">
      <c r="J329" s="3"/>
    </row>
    <row r="330">
      <c r="J330" s="3"/>
    </row>
    <row r="331">
      <c r="J331" s="3"/>
    </row>
    <row r="332">
      <c r="J332" s="3"/>
    </row>
    <row r="333">
      <c r="J333" s="3"/>
    </row>
    <row r="334">
      <c r="J334" s="3"/>
    </row>
    <row r="335">
      <c r="J335" s="3"/>
    </row>
    <row r="336">
      <c r="J336" s="3"/>
    </row>
    <row r="337">
      <c r="J337" s="3"/>
    </row>
    <row r="338">
      <c r="J338" s="3"/>
    </row>
    <row r="339">
      <c r="J339" s="3"/>
    </row>
    <row r="340">
      <c r="J340" s="3"/>
    </row>
    <row r="341">
      <c r="J341" s="3"/>
    </row>
    <row r="342">
      <c r="J342" s="3"/>
    </row>
    <row r="343">
      <c r="J343" s="3"/>
    </row>
    <row r="344">
      <c r="J344" s="3"/>
    </row>
    <row r="345">
      <c r="J345" s="3"/>
    </row>
    <row r="346">
      <c r="J346" s="3"/>
    </row>
    <row r="347">
      <c r="J347" s="3"/>
    </row>
    <row r="348">
      <c r="J348" s="3"/>
    </row>
    <row r="349">
      <c r="J349" s="3"/>
    </row>
    <row r="350">
      <c r="J350" s="3"/>
    </row>
    <row r="351">
      <c r="J351" s="3"/>
    </row>
    <row r="352">
      <c r="J352" s="3"/>
    </row>
    <row r="353">
      <c r="J353" s="3"/>
    </row>
    <row r="354">
      <c r="J354" s="3"/>
    </row>
    <row r="355">
      <c r="J355" s="3"/>
    </row>
    <row r="356">
      <c r="J356" s="3"/>
    </row>
    <row r="357">
      <c r="J357" s="3"/>
    </row>
    <row r="358">
      <c r="J358" s="3"/>
    </row>
    <row r="359">
      <c r="J359" s="3"/>
    </row>
    <row r="360">
      <c r="J360" s="3"/>
    </row>
    <row r="361">
      <c r="J361" s="3"/>
    </row>
    <row r="362">
      <c r="J362" s="3"/>
    </row>
    <row r="363">
      <c r="J363" s="3"/>
    </row>
    <row r="364">
      <c r="J364" s="3"/>
    </row>
    <row r="365">
      <c r="J365" s="3"/>
    </row>
    <row r="366">
      <c r="J366" s="3"/>
    </row>
    <row r="367">
      <c r="J367" s="3"/>
    </row>
    <row r="368">
      <c r="J368" s="3"/>
    </row>
    <row r="369">
      <c r="J369" s="3"/>
    </row>
    <row r="370">
      <c r="J370" s="3"/>
    </row>
    <row r="371">
      <c r="J371" s="3"/>
    </row>
    <row r="372">
      <c r="J372" s="3"/>
    </row>
    <row r="373">
      <c r="J373" s="3"/>
    </row>
    <row r="374">
      <c r="J374" s="3"/>
    </row>
    <row r="375">
      <c r="J375" s="3"/>
    </row>
    <row r="376">
      <c r="J376" s="3"/>
    </row>
    <row r="377">
      <c r="J377" s="3"/>
    </row>
    <row r="378">
      <c r="J378" s="3"/>
    </row>
    <row r="379">
      <c r="J379" s="3"/>
    </row>
    <row r="380">
      <c r="J380" s="3"/>
    </row>
    <row r="381">
      <c r="J381" s="3"/>
    </row>
    <row r="382">
      <c r="J382" s="3"/>
    </row>
    <row r="383">
      <c r="J383" s="3"/>
    </row>
    <row r="384">
      <c r="J384" s="3"/>
    </row>
    <row r="385">
      <c r="J385" s="3"/>
    </row>
    <row r="386">
      <c r="J386" s="3"/>
    </row>
    <row r="387">
      <c r="J387" s="3"/>
    </row>
    <row r="388">
      <c r="J388" s="3"/>
    </row>
    <row r="389">
      <c r="J389" s="3"/>
    </row>
    <row r="390">
      <c r="J390" s="3"/>
    </row>
    <row r="391">
      <c r="J391" s="3"/>
    </row>
    <row r="392">
      <c r="J392" s="3"/>
    </row>
    <row r="393">
      <c r="J393" s="3"/>
    </row>
    <row r="394">
      <c r="J394" s="3"/>
    </row>
    <row r="395">
      <c r="J395" s="3"/>
    </row>
    <row r="396">
      <c r="J396" s="3"/>
    </row>
    <row r="397">
      <c r="J397" s="3"/>
    </row>
    <row r="398">
      <c r="J398" s="3"/>
    </row>
    <row r="399">
      <c r="J399" s="3"/>
    </row>
    <row r="400">
      <c r="J400" s="3"/>
    </row>
    <row r="401">
      <c r="J401" s="3"/>
    </row>
    <row r="402">
      <c r="J402" s="3"/>
    </row>
    <row r="403">
      <c r="J403" s="3"/>
    </row>
    <row r="404">
      <c r="J404" s="3"/>
    </row>
    <row r="405">
      <c r="J405" s="3"/>
    </row>
    <row r="406">
      <c r="J406" s="3"/>
    </row>
    <row r="407">
      <c r="J407" s="3"/>
    </row>
    <row r="408">
      <c r="J408" s="3"/>
    </row>
    <row r="409">
      <c r="J409" s="3"/>
    </row>
    <row r="410">
      <c r="J410" s="3"/>
    </row>
    <row r="411">
      <c r="J411" s="3"/>
    </row>
    <row r="412">
      <c r="J412" s="3"/>
    </row>
    <row r="413">
      <c r="J413" s="3"/>
    </row>
    <row r="414">
      <c r="J414" s="3"/>
    </row>
    <row r="415">
      <c r="J415" s="3"/>
    </row>
    <row r="416">
      <c r="J416" s="3"/>
    </row>
    <row r="417">
      <c r="J417" s="3"/>
    </row>
    <row r="418">
      <c r="J418" s="3"/>
    </row>
    <row r="419">
      <c r="J419" s="3"/>
    </row>
    <row r="420">
      <c r="J420" s="3"/>
    </row>
    <row r="421">
      <c r="J421" s="3"/>
    </row>
    <row r="422">
      <c r="J422" s="3"/>
    </row>
    <row r="423">
      <c r="J423" s="3"/>
    </row>
    <row r="424">
      <c r="J424" s="3"/>
    </row>
    <row r="425">
      <c r="J425" s="3"/>
    </row>
    <row r="426">
      <c r="J426" s="3"/>
    </row>
    <row r="427">
      <c r="J427" s="3"/>
    </row>
    <row r="428">
      <c r="J428" s="3"/>
    </row>
    <row r="429">
      <c r="J429" s="3"/>
    </row>
    <row r="430">
      <c r="J430" s="3"/>
    </row>
    <row r="431">
      <c r="J431" s="3"/>
    </row>
    <row r="432">
      <c r="J432" s="3"/>
    </row>
    <row r="433">
      <c r="J433" s="3"/>
    </row>
    <row r="434">
      <c r="J434" s="3"/>
    </row>
    <row r="435">
      <c r="J435" s="3"/>
    </row>
    <row r="436">
      <c r="J436" s="3"/>
    </row>
    <row r="437">
      <c r="J437" s="3"/>
    </row>
    <row r="438">
      <c r="J438" s="3"/>
    </row>
    <row r="439">
      <c r="J439" s="3"/>
    </row>
    <row r="440">
      <c r="J440" s="3"/>
    </row>
    <row r="441">
      <c r="J441" s="3"/>
    </row>
    <row r="442">
      <c r="J442" s="3"/>
    </row>
    <row r="443">
      <c r="J443" s="3"/>
    </row>
    <row r="444">
      <c r="J444" s="3"/>
    </row>
    <row r="445">
      <c r="J445" s="3"/>
    </row>
    <row r="446">
      <c r="J446" s="3"/>
    </row>
    <row r="447">
      <c r="J447" s="3"/>
    </row>
    <row r="448">
      <c r="J448" s="3"/>
    </row>
    <row r="449">
      <c r="J449" s="3"/>
    </row>
    <row r="450">
      <c r="J450" s="3"/>
    </row>
    <row r="451">
      <c r="J451" s="3"/>
    </row>
    <row r="452">
      <c r="J452" s="3"/>
    </row>
    <row r="453">
      <c r="J453" s="3"/>
    </row>
    <row r="454">
      <c r="J454" s="3"/>
    </row>
    <row r="455">
      <c r="J455" s="3"/>
    </row>
    <row r="456">
      <c r="J456" s="3"/>
    </row>
    <row r="457">
      <c r="J457" s="3"/>
    </row>
    <row r="458">
      <c r="J458" s="3"/>
    </row>
    <row r="459">
      <c r="J459" s="3"/>
    </row>
    <row r="460">
      <c r="J460" s="3"/>
    </row>
    <row r="461">
      <c r="J461" s="3"/>
    </row>
    <row r="462">
      <c r="J462" s="3"/>
    </row>
    <row r="463">
      <c r="J463" s="3"/>
    </row>
    <row r="464">
      <c r="J464" s="3"/>
    </row>
    <row r="465">
      <c r="J465" s="3"/>
    </row>
    <row r="466">
      <c r="J466" s="3"/>
    </row>
    <row r="467">
      <c r="J467" s="3"/>
    </row>
    <row r="468">
      <c r="J468" s="3"/>
    </row>
    <row r="469">
      <c r="J469" s="3"/>
    </row>
    <row r="470">
      <c r="J470" s="3"/>
    </row>
    <row r="471">
      <c r="J471" s="3"/>
    </row>
    <row r="472">
      <c r="J472" s="3"/>
    </row>
    <row r="473">
      <c r="J473" s="3"/>
    </row>
    <row r="474">
      <c r="J474" s="3"/>
    </row>
    <row r="475">
      <c r="J475" s="3"/>
    </row>
    <row r="476">
      <c r="J476" s="3"/>
    </row>
    <row r="477">
      <c r="J477" s="3"/>
    </row>
    <row r="478">
      <c r="J478" s="3"/>
    </row>
    <row r="479">
      <c r="J479" s="3"/>
    </row>
    <row r="480">
      <c r="J480" s="3"/>
    </row>
    <row r="481">
      <c r="J481" s="3"/>
    </row>
    <row r="482">
      <c r="J482" s="3"/>
    </row>
    <row r="483">
      <c r="J483" s="3"/>
    </row>
    <row r="484">
      <c r="J484" s="3"/>
    </row>
    <row r="485">
      <c r="J485" s="3"/>
    </row>
    <row r="486">
      <c r="J486" s="3"/>
    </row>
    <row r="487">
      <c r="J487" s="3"/>
    </row>
    <row r="488">
      <c r="J488" s="3"/>
    </row>
    <row r="489">
      <c r="J489" s="3"/>
    </row>
    <row r="490">
      <c r="J490" s="3"/>
    </row>
    <row r="491">
      <c r="J491" s="3"/>
    </row>
    <row r="492">
      <c r="J492" s="3"/>
    </row>
    <row r="493">
      <c r="J493" s="3"/>
    </row>
    <row r="494">
      <c r="J494" s="3"/>
    </row>
    <row r="495">
      <c r="J495" s="3"/>
    </row>
    <row r="496">
      <c r="J496" s="3"/>
    </row>
    <row r="497">
      <c r="J497" s="3"/>
    </row>
    <row r="498">
      <c r="J498" s="3"/>
    </row>
    <row r="499">
      <c r="J499" s="3"/>
    </row>
    <row r="500">
      <c r="J500" s="3"/>
    </row>
    <row r="501">
      <c r="J501" s="3"/>
    </row>
    <row r="502">
      <c r="J502" s="3"/>
    </row>
    <row r="503">
      <c r="J503" s="3"/>
    </row>
    <row r="504">
      <c r="J504" s="3"/>
    </row>
    <row r="505">
      <c r="J505" s="3"/>
    </row>
    <row r="506">
      <c r="J506" s="3"/>
    </row>
    <row r="507">
      <c r="J507" s="3"/>
    </row>
    <row r="508">
      <c r="J508" s="3"/>
    </row>
    <row r="509">
      <c r="J509" s="3"/>
    </row>
    <row r="510">
      <c r="J510" s="3"/>
    </row>
    <row r="511">
      <c r="J511" s="3"/>
    </row>
    <row r="512">
      <c r="J512" s="3"/>
    </row>
    <row r="513">
      <c r="J513" s="3"/>
    </row>
    <row r="514">
      <c r="J514" s="3"/>
    </row>
    <row r="515">
      <c r="J515" s="3"/>
    </row>
    <row r="516">
      <c r="J516" s="3"/>
    </row>
    <row r="517">
      <c r="J517" s="3"/>
    </row>
    <row r="518">
      <c r="J518" s="3"/>
    </row>
    <row r="519">
      <c r="J519" s="3"/>
    </row>
    <row r="520">
      <c r="J520" s="3"/>
    </row>
    <row r="521">
      <c r="J521" s="3"/>
    </row>
    <row r="522">
      <c r="J522" s="3"/>
    </row>
    <row r="523">
      <c r="J523" s="3"/>
    </row>
    <row r="524">
      <c r="J524" s="3"/>
    </row>
    <row r="525">
      <c r="J525" s="3"/>
    </row>
    <row r="526">
      <c r="J526" s="3"/>
    </row>
    <row r="527">
      <c r="J527" s="3"/>
    </row>
    <row r="528">
      <c r="J528" s="3"/>
    </row>
    <row r="529">
      <c r="J529" s="3"/>
    </row>
    <row r="530">
      <c r="J530" s="3"/>
    </row>
    <row r="531">
      <c r="J531" s="3"/>
    </row>
    <row r="532">
      <c r="J532" s="3"/>
    </row>
    <row r="533">
      <c r="J533" s="3"/>
    </row>
    <row r="534">
      <c r="J534" s="3"/>
    </row>
    <row r="535">
      <c r="J535" s="3"/>
    </row>
    <row r="536">
      <c r="J536" s="3"/>
    </row>
    <row r="537">
      <c r="J537" s="3"/>
    </row>
    <row r="538">
      <c r="J538" s="3"/>
    </row>
    <row r="539">
      <c r="J539" s="3"/>
    </row>
    <row r="540">
      <c r="J540" s="3"/>
    </row>
    <row r="541">
      <c r="J541" s="3"/>
    </row>
    <row r="542">
      <c r="J542" s="3"/>
    </row>
    <row r="543">
      <c r="J543" s="3"/>
    </row>
    <row r="544">
      <c r="J544" s="3"/>
    </row>
    <row r="545">
      <c r="J545" s="3"/>
    </row>
    <row r="546">
      <c r="J546" s="3"/>
    </row>
    <row r="547">
      <c r="J547" s="3"/>
    </row>
    <row r="548">
      <c r="J548" s="3"/>
    </row>
    <row r="549">
      <c r="J549" s="3"/>
    </row>
    <row r="550">
      <c r="J550" s="3"/>
    </row>
    <row r="551">
      <c r="J551" s="3"/>
    </row>
    <row r="552">
      <c r="J552" s="3"/>
    </row>
    <row r="553">
      <c r="J553" s="3"/>
    </row>
    <row r="554">
      <c r="J554" s="3"/>
    </row>
    <row r="555">
      <c r="J555" s="3"/>
    </row>
    <row r="556">
      <c r="J556" s="3"/>
    </row>
    <row r="557">
      <c r="J557" s="3"/>
    </row>
    <row r="558">
      <c r="J558" s="3"/>
    </row>
    <row r="559">
      <c r="J559" s="3"/>
    </row>
    <row r="560">
      <c r="J560" s="3"/>
    </row>
    <row r="561">
      <c r="J561" s="3"/>
    </row>
    <row r="562">
      <c r="J562" s="3"/>
    </row>
    <row r="563">
      <c r="J563" s="3"/>
    </row>
    <row r="564">
      <c r="J564" s="3"/>
    </row>
    <row r="565">
      <c r="J565" s="3"/>
    </row>
    <row r="566">
      <c r="J566" s="3"/>
    </row>
    <row r="567">
      <c r="J567" s="3"/>
    </row>
    <row r="568">
      <c r="J568" s="3"/>
    </row>
    <row r="569">
      <c r="J569" s="3"/>
    </row>
    <row r="570">
      <c r="J570" s="3"/>
    </row>
    <row r="571">
      <c r="J571" s="3"/>
    </row>
    <row r="572">
      <c r="J572" s="3"/>
    </row>
    <row r="573">
      <c r="J573" s="3"/>
    </row>
    <row r="574">
      <c r="J574" s="3"/>
    </row>
    <row r="575">
      <c r="J575" s="3"/>
    </row>
    <row r="576">
      <c r="J576" s="3"/>
    </row>
    <row r="577">
      <c r="J577" s="3"/>
    </row>
    <row r="578">
      <c r="J578" s="3"/>
    </row>
    <row r="579">
      <c r="J579" s="3"/>
    </row>
    <row r="580">
      <c r="J580" s="3"/>
    </row>
    <row r="581">
      <c r="J581" s="3"/>
    </row>
    <row r="582">
      <c r="J582" s="3"/>
    </row>
    <row r="583">
      <c r="J583" s="3"/>
    </row>
    <row r="584">
      <c r="J584" s="3"/>
    </row>
    <row r="585">
      <c r="J585" s="3"/>
    </row>
    <row r="586">
      <c r="J586" s="3"/>
    </row>
    <row r="587">
      <c r="J587" s="3"/>
    </row>
    <row r="588">
      <c r="J588" s="3"/>
    </row>
    <row r="589">
      <c r="J589" s="3"/>
    </row>
    <row r="590">
      <c r="J590" s="3"/>
    </row>
    <row r="591">
      <c r="J591" s="3"/>
    </row>
    <row r="592">
      <c r="J592" s="3"/>
    </row>
    <row r="593">
      <c r="J593" s="3"/>
    </row>
    <row r="594">
      <c r="J594" s="3"/>
    </row>
    <row r="595">
      <c r="J595" s="3"/>
    </row>
    <row r="596">
      <c r="J596" s="3"/>
    </row>
    <row r="597">
      <c r="J597" s="3"/>
    </row>
    <row r="598">
      <c r="J598" s="3"/>
    </row>
    <row r="599">
      <c r="J599" s="3"/>
    </row>
    <row r="600">
      <c r="J600" s="3"/>
    </row>
    <row r="601">
      <c r="J601" s="3"/>
    </row>
    <row r="602">
      <c r="J602" s="3"/>
    </row>
    <row r="603">
      <c r="J603" s="3"/>
    </row>
    <row r="604">
      <c r="J604" s="3"/>
    </row>
    <row r="605">
      <c r="J605" s="3"/>
    </row>
    <row r="606">
      <c r="J606" s="3"/>
    </row>
    <row r="607">
      <c r="J607" s="3"/>
    </row>
    <row r="608">
      <c r="J608" s="3"/>
    </row>
    <row r="609">
      <c r="J609" s="3"/>
    </row>
    <row r="610">
      <c r="J610" s="3"/>
    </row>
    <row r="611">
      <c r="J611" s="3"/>
    </row>
    <row r="612">
      <c r="J612" s="3"/>
    </row>
    <row r="613">
      <c r="J613" s="3"/>
    </row>
    <row r="614">
      <c r="J614" s="3"/>
    </row>
    <row r="615">
      <c r="J615" s="3"/>
    </row>
    <row r="616">
      <c r="J616" s="3"/>
    </row>
    <row r="617">
      <c r="J617" s="3"/>
    </row>
    <row r="618">
      <c r="J618" s="3"/>
    </row>
    <row r="619">
      <c r="J619" s="3"/>
    </row>
    <row r="620">
      <c r="J620" s="3"/>
    </row>
    <row r="621">
      <c r="J621" s="3"/>
    </row>
    <row r="622">
      <c r="J622" s="3"/>
    </row>
    <row r="623">
      <c r="J623" s="3"/>
    </row>
    <row r="624">
      <c r="J624" s="3"/>
    </row>
    <row r="625">
      <c r="J625" s="3"/>
    </row>
    <row r="626">
      <c r="J626" s="3"/>
    </row>
    <row r="627">
      <c r="J627" s="3"/>
    </row>
    <row r="628">
      <c r="J628" s="3"/>
    </row>
    <row r="629">
      <c r="J629" s="3"/>
    </row>
    <row r="630">
      <c r="J630" s="3"/>
    </row>
    <row r="631">
      <c r="J631" s="3"/>
    </row>
    <row r="632">
      <c r="J632" s="3"/>
    </row>
    <row r="633">
      <c r="J633" s="3"/>
    </row>
    <row r="634">
      <c r="J634" s="3"/>
    </row>
    <row r="635">
      <c r="J635" s="3"/>
    </row>
    <row r="636">
      <c r="J636" s="3"/>
    </row>
    <row r="637">
      <c r="J637" s="3"/>
    </row>
    <row r="638">
      <c r="J638" s="3"/>
    </row>
    <row r="639">
      <c r="J639" s="3"/>
    </row>
    <row r="640">
      <c r="J640" s="3"/>
    </row>
    <row r="641">
      <c r="J641" s="3"/>
    </row>
    <row r="642">
      <c r="J642" s="3"/>
    </row>
    <row r="643">
      <c r="J643" s="3"/>
    </row>
    <row r="644">
      <c r="J644" s="3"/>
    </row>
    <row r="645">
      <c r="J645" s="3"/>
    </row>
    <row r="646">
      <c r="J646" s="3"/>
    </row>
    <row r="647">
      <c r="J647" s="3"/>
    </row>
    <row r="648">
      <c r="J648" s="3"/>
    </row>
    <row r="649">
      <c r="J649" s="3"/>
    </row>
    <row r="650">
      <c r="J650" s="3"/>
    </row>
    <row r="651">
      <c r="J651" s="3"/>
    </row>
    <row r="652">
      <c r="J652" s="3"/>
    </row>
    <row r="653">
      <c r="J653" s="3"/>
    </row>
    <row r="654">
      <c r="J654" s="3"/>
    </row>
    <row r="655">
      <c r="J655" s="3"/>
    </row>
    <row r="656">
      <c r="J656" s="3"/>
    </row>
    <row r="657">
      <c r="J657" s="3"/>
    </row>
    <row r="658">
      <c r="J658" s="3"/>
    </row>
    <row r="659">
      <c r="J659" s="3"/>
    </row>
    <row r="660">
      <c r="J660" s="3"/>
    </row>
    <row r="661">
      <c r="J661" s="3"/>
    </row>
    <row r="662">
      <c r="J662" s="3"/>
    </row>
    <row r="663">
      <c r="J663" s="3"/>
    </row>
    <row r="664">
      <c r="J664" s="3"/>
    </row>
    <row r="665">
      <c r="J665" s="3"/>
    </row>
    <row r="666">
      <c r="J666" s="3"/>
    </row>
    <row r="667">
      <c r="J667" s="3"/>
    </row>
    <row r="668">
      <c r="J668" s="3"/>
    </row>
    <row r="669">
      <c r="J669" s="3"/>
    </row>
    <row r="670">
      <c r="J670" s="3"/>
    </row>
    <row r="671">
      <c r="J671" s="3"/>
    </row>
    <row r="672">
      <c r="J672" s="3"/>
    </row>
    <row r="673">
      <c r="J673" s="3"/>
    </row>
    <row r="674">
      <c r="J674" s="3"/>
    </row>
    <row r="675">
      <c r="J675" s="3"/>
    </row>
    <row r="676">
      <c r="J676" s="3"/>
    </row>
    <row r="677">
      <c r="J677" s="3"/>
    </row>
    <row r="678">
      <c r="J678" s="3"/>
    </row>
    <row r="679">
      <c r="J679" s="3"/>
    </row>
    <row r="680">
      <c r="J680" s="3"/>
    </row>
    <row r="681">
      <c r="J681" s="3"/>
    </row>
    <row r="682">
      <c r="J682" s="3"/>
    </row>
    <row r="683">
      <c r="J683" s="3"/>
    </row>
    <row r="684">
      <c r="J684" s="3"/>
    </row>
    <row r="685">
      <c r="J685" s="3"/>
    </row>
    <row r="686">
      <c r="J686" s="3"/>
    </row>
    <row r="687">
      <c r="J687" s="3"/>
    </row>
    <row r="688">
      <c r="J688" s="3"/>
    </row>
    <row r="689">
      <c r="J689" s="3"/>
    </row>
    <row r="690">
      <c r="J690" s="3"/>
    </row>
    <row r="691">
      <c r="J691" s="3"/>
    </row>
    <row r="692">
      <c r="J692" s="3"/>
    </row>
    <row r="693">
      <c r="J693" s="3"/>
    </row>
    <row r="694">
      <c r="J694" s="3"/>
    </row>
    <row r="695">
      <c r="J695" s="3"/>
    </row>
    <row r="696">
      <c r="J696" s="3"/>
    </row>
    <row r="697">
      <c r="J697" s="3"/>
    </row>
    <row r="698">
      <c r="J698" s="3"/>
    </row>
    <row r="699">
      <c r="J699" s="3"/>
    </row>
    <row r="700">
      <c r="J700" s="3"/>
    </row>
    <row r="701">
      <c r="J701" s="3"/>
    </row>
    <row r="702">
      <c r="J702" s="3"/>
    </row>
    <row r="703">
      <c r="J703" s="3"/>
    </row>
    <row r="704">
      <c r="J704" s="3"/>
    </row>
    <row r="705">
      <c r="J705" s="3"/>
    </row>
    <row r="706">
      <c r="J706" s="3"/>
    </row>
    <row r="707">
      <c r="J707" s="3"/>
    </row>
    <row r="708">
      <c r="J708" s="3"/>
    </row>
    <row r="709">
      <c r="J709" s="3"/>
    </row>
    <row r="710">
      <c r="J710" s="3"/>
    </row>
    <row r="711">
      <c r="J711" s="3"/>
    </row>
    <row r="712">
      <c r="J712" s="3"/>
    </row>
    <row r="713">
      <c r="J713" s="3"/>
    </row>
    <row r="714">
      <c r="J714" s="3"/>
    </row>
    <row r="715">
      <c r="J715" s="3"/>
    </row>
    <row r="716">
      <c r="J716" s="3"/>
    </row>
    <row r="717">
      <c r="J717" s="3"/>
    </row>
    <row r="718">
      <c r="J718" s="3"/>
    </row>
    <row r="719">
      <c r="J719" s="3"/>
    </row>
    <row r="720">
      <c r="J720" s="3"/>
    </row>
    <row r="721">
      <c r="J721" s="3"/>
    </row>
    <row r="722">
      <c r="J722" s="3"/>
    </row>
    <row r="723">
      <c r="J723" s="3"/>
    </row>
    <row r="724">
      <c r="J724" s="3"/>
    </row>
    <row r="725">
      <c r="J725" s="3"/>
    </row>
    <row r="726">
      <c r="J726" s="3"/>
    </row>
    <row r="727">
      <c r="J727" s="3"/>
    </row>
    <row r="728">
      <c r="J728" s="3"/>
    </row>
    <row r="729">
      <c r="J729" s="3"/>
    </row>
    <row r="730">
      <c r="J730" s="3"/>
    </row>
    <row r="731">
      <c r="J731" s="3"/>
    </row>
    <row r="732">
      <c r="J732" s="3"/>
    </row>
    <row r="733">
      <c r="J733" s="3"/>
    </row>
    <row r="734">
      <c r="J734" s="3"/>
    </row>
    <row r="735">
      <c r="J735" s="3"/>
    </row>
    <row r="736">
      <c r="J736" s="3"/>
    </row>
    <row r="737">
      <c r="J737" s="3"/>
    </row>
    <row r="738">
      <c r="J738" s="3"/>
    </row>
    <row r="739">
      <c r="J739" s="3"/>
    </row>
    <row r="740">
      <c r="J740" s="3"/>
    </row>
    <row r="741">
      <c r="J741" s="3"/>
    </row>
    <row r="742">
      <c r="J742" s="3"/>
    </row>
    <row r="743">
      <c r="J743" s="3"/>
    </row>
    <row r="744">
      <c r="J744" s="3"/>
    </row>
    <row r="745">
      <c r="J745" s="3"/>
    </row>
    <row r="746">
      <c r="J746" s="3"/>
    </row>
    <row r="747">
      <c r="J747" s="3"/>
    </row>
    <row r="748">
      <c r="J748" s="3"/>
    </row>
    <row r="749">
      <c r="J749" s="3"/>
    </row>
    <row r="750">
      <c r="J750" s="3"/>
    </row>
    <row r="751">
      <c r="J751" s="3"/>
    </row>
    <row r="752">
      <c r="J752" s="3"/>
    </row>
    <row r="753">
      <c r="J753" s="3"/>
    </row>
    <row r="754">
      <c r="J754" s="3"/>
    </row>
    <row r="755">
      <c r="J755" s="3"/>
    </row>
    <row r="756">
      <c r="J756" s="3"/>
    </row>
    <row r="757">
      <c r="J757" s="3"/>
    </row>
    <row r="758">
      <c r="J758" s="3"/>
    </row>
    <row r="759">
      <c r="J759" s="3"/>
    </row>
    <row r="760">
      <c r="J760" s="3"/>
    </row>
    <row r="761">
      <c r="J761" s="3"/>
    </row>
    <row r="762">
      <c r="J762" s="3"/>
    </row>
    <row r="763">
      <c r="J763" s="3"/>
    </row>
    <row r="764">
      <c r="J764" s="3"/>
    </row>
    <row r="765">
      <c r="J765" s="3"/>
    </row>
    <row r="766">
      <c r="J766" s="3"/>
    </row>
    <row r="767">
      <c r="J767" s="3"/>
    </row>
    <row r="768">
      <c r="J768" s="3"/>
    </row>
    <row r="769">
      <c r="J769" s="3"/>
    </row>
    <row r="770">
      <c r="J770" s="3"/>
    </row>
    <row r="771">
      <c r="J771" s="3"/>
    </row>
    <row r="772">
      <c r="J772" s="3"/>
    </row>
    <row r="773">
      <c r="J773" s="3"/>
    </row>
    <row r="774">
      <c r="J774" s="3"/>
    </row>
    <row r="775">
      <c r="J775" s="3"/>
    </row>
    <row r="776">
      <c r="J776" s="3"/>
    </row>
    <row r="777">
      <c r="J777" s="3"/>
    </row>
    <row r="778">
      <c r="J778" s="3"/>
    </row>
    <row r="779">
      <c r="J779" s="3"/>
    </row>
    <row r="780">
      <c r="J780" s="3"/>
    </row>
    <row r="781">
      <c r="J781" s="3"/>
    </row>
    <row r="782">
      <c r="J782" s="3"/>
    </row>
    <row r="783">
      <c r="J783" s="3"/>
    </row>
    <row r="784">
      <c r="J784" s="3"/>
    </row>
    <row r="785">
      <c r="J785" s="3"/>
    </row>
    <row r="786">
      <c r="J786" s="3"/>
    </row>
    <row r="787">
      <c r="J787" s="3"/>
    </row>
    <row r="788">
      <c r="J788" s="3"/>
    </row>
    <row r="789">
      <c r="J789" s="3"/>
    </row>
    <row r="790">
      <c r="J790" s="3"/>
    </row>
    <row r="791">
      <c r="J791" s="3"/>
    </row>
    <row r="792">
      <c r="J792" s="3"/>
    </row>
    <row r="793">
      <c r="J793" s="3"/>
    </row>
    <row r="794">
      <c r="J794" s="3"/>
    </row>
    <row r="795">
      <c r="J795" s="3"/>
    </row>
    <row r="796">
      <c r="J796" s="3"/>
    </row>
    <row r="797">
      <c r="J797" s="3"/>
    </row>
    <row r="798">
      <c r="J798" s="3"/>
    </row>
    <row r="799">
      <c r="J799" s="3"/>
    </row>
    <row r="800">
      <c r="J800" s="3"/>
    </row>
    <row r="801">
      <c r="J801" s="3"/>
    </row>
    <row r="802">
      <c r="J802" s="3"/>
    </row>
    <row r="803">
      <c r="J803" s="3"/>
    </row>
    <row r="804">
      <c r="J804" s="3"/>
    </row>
    <row r="805">
      <c r="J805" s="3"/>
    </row>
    <row r="806">
      <c r="J806" s="3"/>
    </row>
    <row r="807">
      <c r="J807" s="3"/>
    </row>
    <row r="808">
      <c r="J808" s="3"/>
    </row>
    <row r="809">
      <c r="J809" s="3"/>
    </row>
    <row r="810">
      <c r="J810" s="3"/>
    </row>
    <row r="811">
      <c r="J811" s="3"/>
    </row>
    <row r="812">
      <c r="J812" s="3"/>
    </row>
    <row r="813">
      <c r="J813" s="3"/>
    </row>
    <row r="814">
      <c r="J814" s="3"/>
    </row>
    <row r="815">
      <c r="J815" s="3"/>
    </row>
    <row r="816">
      <c r="J816" s="3"/>
    </row>
    <row r="817">
      <c r="J817" s="3"/>
    </row>
    <row r="818">
      <c r="J818" s="3"/>
    </row>
    <row r="819">
      <c r="J819" s="3"/>
    </row>
    <row r="820">
      <c r="J820" s="3"/>
    </row>
    <row r="821">
      <c r="J821" s="3"/>
    </row>
    <row r="822">
      <c r="J822" s="3"/>
    </row>
    <row r="823">
      <c r="J823" s="3"/>
    </row>
    <row r="824">
      <c r="J824" s="3"/>
    </row>
    <row r="825">
      <c r="J825" s="3"/>
    </row>
    <row r="826">
      <c r="J826" s="3"/>
    </row>
    <row r="827">
      <c r="J827" s="3"/>
    </row>
    <row r="828">
      <c r="J828" s="3"/>
    </row>
    <row r="829">
      <c r="J829" s="3"/>
    </row>
    <row r="830">
      <c r="J830" s="3"/>
    </row>
    <row r="831">
      <c r="J831" s="3"/>
    </row>
    <row r="832">
      <c r="J832" s="3"/>
    </row>
    <row r="833">
      <c r="J833" s="3"/>
    </row>
    <row r="834">
      <c r="J834" s="3"/>
    </row>
    <row r="835">
      <c r="J835" s="3"/>
    </row>
    <row r="836">
      <c r="J836" s="3"/>
    </row>
    <row r="837">
      <c r="J837" s="3"/>
    </row>
    <row r="838">
      <c r="J838" s="3"/>
    </row>
    <row r="839">
      <c r="J839" s="3"/>
    </row>
    <row r="840">
      <c r="J840" s="3"/>
    </row>
    <row r="841">
      <c r="J841" s="3"/>
    </row>
    <row r="842">
      <c r="J842" s="3"/>
    </row>
    <row r="843">
      <c r="J843" s="3"/>
    </row>
    <row r="844">
      <c r="J844" s="3"/>
    </row>
    <row r="845">
      <c r="J845" s="3"/>
    </row>
    <row r="846">
      <c r="J846" s="3"/>
    </row>
    <row r="847">
      <c r="J847" s="3"/>
    </row>
    <row r="848">
      <c r="J848" s="3"/>
    </row>
    <row r="849">
      <c r="J849" s="3"/>
    </row>
    <row r="850">
      <c r="J850" s="3"/>
    </row>
    <row r="851">
      <c r="J851" s="3"/>
    </row>
    <row r="852">
      <c r="J852" s="3"/>
    </row>
    <row r="853">
      <c r="J853" s="3"/>
    </row>
    <row r="854">
      <c r="J854" s="3"/>
    </row>
    <row r="855">
      <c r="J855" s="3"/>
    </row>
    <row r="856">
      <c r="J856" s="3"/>
    </row>
    <row r="857">
      <c r="J857" s="3"/>
    </row>
    <row r="858">
      <c r="J858" s="3"/>
    </row>
    <row r="859">
      <c r="J859" s="3"/>
    </row>
    <row r="860">
      <c r="J860" s="3"/>
    </row>
    <row r="861">
      <c r="J861" s="3"/>
    </row>
    <row r="862">
      <c r="J862" s="3"/>
    </row>
    <row r="863">
      <c r="J863" s="3"/>
    </row>
    <row r="864">
      <c r="J864" s="3"/>
    </row>
    <row r="865">
      <c r="J865" s="3"/>
    </row>
    <row r="866">
      <c r="J866" s="3"/>
    </row>
    <row r="867">
      <c r="J867" s="3"/>
    </row>
    <row r="868">
      <c r="J868" s="3"/>
    </row>
    <row r="869">
      <c r="J869" s="3"/>
    </row>
    <row r="870">
      <c r="J870" s="3"/>
    </row>
    <row r="871">
      <c r="J871" s="3"/>
    </row>
    <row r="872">
      <c r="J872" s="3"/>
    </row>
    <row r="873">
      <c r="J873" s="3"/>
    </row>
    <row r="874">
      <c r="J874" s="3"/>
    </row>
    <row r="875">
      <c r="J875" s="3"/>
    </row>
    <row r="876">
      <c r="J876" s="3"/>
    </row>
    <row r="877">
      <c r="J877" s="3"/>
    </row>
    <row r="878">
      <c r="J878" s="3"/>
    </row>
    <row r="879">
      <c r="J879" s="3"/>
    </row>
    <row r="880">
      <c r="J880" s="3"/>
    </row>
    <row r="881">
      <c r="J881" s="3"/>
    </row>
    <row r="882">
      <c r="J882" s="3"/>
    </row>
    <row r="883">
      <c r="J883" s="3"/>
    </row>
    <row r="884">
      <c r="J884" s="3"/>
    </row>
    <row r="885">
      <c r="J885" s="3"/>
    </row>
    <row r="886">
      <c r="J886" s="3"/>
    </row>
    <row r="887">
      <c r="J887" s="3"/>
    </row>
    <row r="888">
      <c r="J888" s="3"/>
    </row>
    <row r="889">
      <c r="J889" s="3"/>
    </row>
    <row r="890">
      <c r="J890" s="3"/>
    </row>
    <row r="891">
      <c r="J891" s="3"/>
    </row>
    <row r="892">
      <c r="J892" s="3"/>
    </row>
    <row r="893">
      <c r="J893" s="3"/>
    </row>
    <row r="894">
      <c r="J894" s="3"/>
    </row>
    <row r="895">
      <c r="J895" s="3"/>
    </row>
    <row r="896">
      <c r="J896" s="3"/>
    </row>
    <row r="897">
      <c r="J897" s="3"/>
    </row>
    <row r="898">
      <c r="J898" s="3"/>
    </row>
    <row r="899">
      <c r="J899" s="3"/>
    </row>
    <row r="900">
      <c r="J900" s="3"/>
    </row>
    <row r="901">
      <c r="J901" s="3"/>
    </row>
    <row r="902">
      <c r="J902" s="3"/>
    </row>
    <row r="903">
      <c r="J903" s="3"/>
    </row>
    <row r="904">
      <c r="J904" s="3"/>
    </row>
    <row r="905">
      <c r="J905" s="3"/>
    </row>
    <row r="906">
      <c r="J906" s="3"/>
    </row>
    <row r="907">
      <c r="J907" s="3"/>
    </row>
    <row r="908">
      <c r="J908" s="3"/>
    </row>
    <row r="909">
      <c r="J909" s="3"/>
    </row>
    <row r="910">
      <c r="J910" s="3"/>
    </row>
    <row r="911">
      <c r="J911" s="3"/>
    </row>
    <row r="912">
      <c r="J912" s="3"/>
    </row>
    <row r="913">
      <c r="J913" s="3"/>
    </row>
    <row r="914">
      <c r="J914" s="3"/>
    </row>
    <row r="915">
      <c r="J915" s="3"/>
    </row>
    <row r="916">
      <c r="J916" s="3"/>
    </row>
    <row r="917">
      <c r="J917" s="3"/>
    </row>
    <row r="918">
      <c r="J918" s="3"/>
    </row>
    <row r="919">
      <c r="J919" s="3"/>
    </row>
    <row r="920">
      <c r="J920" s="3"/>
    </row>
    <row r="921">
      <c r="J921" s="3"/>
    </row>
    <row r="922">
      <c r="J922" s="3"/>
    </row>
    <row r="923">
      <c r="J923" s="3"/>
    </row>
    <row r="924">
      <c r="J924" s="3"/>
    </row>
    <row r="925">
      <c r="J925" s="3"/>
    </row>
    <row r="926">
      <c r="J926" s="3"/>
    </row>
    <row r="927">
      <c r="J927" s="3"/>
    </row>
    <row r="928">
      <c r="J928" s="3"/>
    </row>
    <row r="929">
      <c r="J929" s="3"/>
    </row>
    <row r="930">
      <c r="J930" s="3"/>
    </row>
    <row r="931">
      <c r="J931" s="3"/>
    </row>
    <row r="932">
      <c r="J932" s="3"/>
    </row>
    <row r="933">
      <c r="J933" s="3"/>
    </row>
    <row r="934">
      <c r="J934" s="3"/>
    </row>
    <row r="935">
      <c r="J935" s="3"/>
    </row>
    <row r="936">
      <c r="J936" s="3"/>
    </row>
    <row r="937">
      <c r="J937" s="3"/>
    </row>
    <row r="938">
      <c r="J938" s="3"/>
    </row>
    <row r="939">
      <c r="J939" s="3"/>
    </row>
    <row r="940">
      <c r="J940" s="3"/>
    </row>
    <row r="941">
      <c r="J941" s="3"/>
    </row>
    <row r="942">
      <c r="J942" s="3"/>
    </row>
    <row r="943">
      <c r="J943" s="3"/>
    </row>
    <row r="944">
      <c r="J944" s="3"/>
    </row>
    <row r="945">
      <c r="J945" s="3"/>
    </row>
    <row r="946">
      <c r="J946" s="3"/>
    </row>
    <row r="947">
      <c r="J947" s="3"/>
    </row>
    <row r="948">
      <c r="J948" s="3"/>
    </row>
    <row r="949">
      <c r="J949" s="3"/>
    </row>
    <row r="950">
      <c r="J950" s="3"/>
    </row>
    <row r="951">
      <c r="J951" s="3"/>
    </row>
    <row r="952">
      <c r="J952" s="3"/>
    </row>
    <row r="953">
      <c r="J953" s="3"/>
    </row>
    <row r="954">
      <c r="J954" s="3"/>
    </row>
    <row r="955">
      <c r="J955" s="3"/>
    </row>
    <row r="956">
      <c r="J956" s="3"/>
    </row>
    <row r="957">
      <c r="J957" s="3"/>
    </row>
    <row r="958">
      <c r="J958" s="3"/>
    </row>
    <row r="959">
      <c r="J959" s="3"/>
    </row>
    <row r="960">
      <c r="J960" s="3"/>
    </row>
    <row r="961">
      <c r="J961" s="3"/>
    </row>
    <row r="962">
      <c r="J962" s="3"/>
    </row>
    <row r="963">
      <c r="J963" s="3"/>
    </row>
    <row r="964">
      <c r="J964" s="3"/>
    </row>
    <row r="965">
      <c r="J965" s="3"/>
    </row>
    <row r="966">
      <c r="J966" s="3"/>
    </row>
    <row r="967">
      <c r="J967" s="3"/>
    </row>
    <row r="968">
      <c r="J968" s="3"/>
    </row>
    <row r="969">
      <c r="J969" s="3"/>
    </row>
    <row r="970">
      <c r="J970" s="3"/>
    </row>
    <row r="971">
      <c r="J971" s="3"/>
    </row>
    <row r="972">
      <c r="J972" s="3"/>
    </row>
    <row r="973">
      <c r="J973" s="3"/>
    </row>
    <row r="974">
      <c r="J974" s="3"/>
    </row>
    <row r="975">
      <c r="J975" s="3"/>
    </row>
    <row r="976">
      <c r="J976" s="3"/>
    </row>
    <row r="977">
      <c r="J977" s="3"/>
    </row>
    <row r="978">
      <c r="J978" s="3"/>
    </row>
    <row r="979">
      <c r="J979" s="3"/>
    </row>
    <row r="980">
      <c r="J980" s="3"/>
    </row>
    <row r="981">
      <c r="J981" s="3"/>
    </row>
    <row r="982">
      <c r="J982" s="3"/>
    </row>
    <row r="983">
      <c r="J983" s="3"/>
    </row>
    <row r="984">
      <c r="J984" s="3"/>
    </row>
    <row r="985">
      <c r="J985" s="3"/>
    </row>
    <row r="986">
      <c r="J986" s="3"/>
    </row>
    <row r="987">
      <c r="J987" s="3"/>
    </row>
    <row r="988">
      <c r="J988" s="3"/>
    </row>
    <row r="989">
      <c r="J989" s="3"/>
    </row>
    <row r="990">
      <c r="J990" s="3"/>
    </row>
    <row r="991">
      <c r="J991" s="3"/>
    </row>
    <row r="992">
      <c r="J992" s="3"/>
    </row>
    <row r="993">
      <c r="J993" s="3"/>
    </row>
    <row r="994">
      <c r="J994" s="3"/>
    </row>
    <row r="995">
      <c r="J995" s="3"/>
    </row>
    <row r="996">
      <c r="J996" s="3"/>
    </row>
    <row r="997">
      <c r="J997" s="3"/>
    </row>
    <row r="998">
      <c r="J998" s="3"/>
    </row>
    <row r="999">
      <c r="J999" s="3"/>
    </row>
    <row r="1000">
      <c r="J1000" s="3"/>
    </row>
  </sheetData>
  <autoFilter ref="$A$1:$J$50"/>
  <dataValidations>
    <dataValidation type="list" allowBlank="1" showErrorMessage="1" sqref="J2:J1000">
      <formula1>"Yes,No,Follow Up,Lapsed"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9.38"/>
    <col customWidth="1" min="3" max="5" width="26.0"/>
    <col customWidth="1" min="6" max="7" width="28.25"/>
    <col customWidth="1" min="8" max="8" width="29.13"/>
    <col customWidth="1" min="9" max="10" width="32.88"/>
    <col customWidth="1" min="11" max="11" width="30.25"/>
    <col customWidth="1" min="12" max="12" width="16.13"/>
    <col customWidth="1" min="13" max="13" width="22.5"/>
    <col customWidth="1" min="14" max="16" width="22.13"/>
    <col customWidth="1" min="17" max="17" width="35.88"/>
    <col customWidth="1" min="18" max="18" width="38.0"/>
  </cols>
  <sheetData>
    <row r="1">
      <c r="A1" s="1" t="s">
        <v>79</v>
      </c>
      <c r="B1" s="1" t="s">
        <v>80</v>
      </c>
      <c r="C1" s="1" t="s">
        <v>81</v>
      </c>
      <c r="D1" s="1" t="s">
        <v>82</v>
      </c>
      <c r="E1" s="1" t="s">
        <v>83</v>
      </c>
      <c r="F1" s="1" t="s">
        <v>84</v>
      </c>
      <c r="G1" s="1" t="s">
        <v>85</v>
      </c>
      <c r="H1" s="1" t="s">
        <v>86</v>
      </c>
      <c r="I1" s="1" t="s">
        <v>87</v>
      </c>
      <c r="J1" s="1" t="s">
        <v>88</v>
      </c>
      <c r="K1" s="1" t="s">
        <v>89</v>
      </c>
      <c r="L1" s="1" t="s">
        <v>90</v>
      </c>
      <c r="M1" s="1" t="s">
        <v>91</v>
      </c>
      <c r="N1" s="1" t="s">
        <v>92</v>
      </c>
      <c r="O1" s="1" t="s">
        <v>93</v>
      </c>
      <c r="P1" s="1" t="s">
        <v>94</v>
      </c>
      <c r="Q1" s="1" t="s">
        <v>95</v>
      </c>
      <c r="R1" s="1" t="s">
        <v>96</v>
      </c>
    </row>
    <row r="2">
      <c r="C2" s="2" t="s">
        <v>97</v>
      </c>
      <c r="D2" s="2" t="s">
        <v>97</v>
      </c>
      <c r="E2" s="2" t="s">
        <v>98</v>
      </c>
      <c r="F2" s="2" t="s">
        <v>99</v>
      </c>
      <c r="G2" s="2" t="str">
        <f>IFERROR(__xludf.DUMMYFUNCTION("IFERROR(TEXTJOIN("", "", TRUE, FILTER(SPLIT(F2, "",""), ISERROR(MATCH(TRIM(SPLIT(F2, "","")), Membership!D:D, 0)))), ""NONE"")"),"NONE")</f>
        <v>NONE</v>
      </c>
      <c r="H2" s="2">
        <f>IFERROR(__xludf.DUMMYFUNCTION("IF($F2="""", 0, COUNTA(SPLIT($F2, "","")))"),3.0)</f>
        <v>3</v>
      </c>
      <c r="J2" s="3">
        <f t="shared" ref="J2:J50" si="1">sum(H2, I2)</f>
        <v>3</v>
      </c>
      <c r="K2" s="2" t="s">
        <v>100</v>
      </c>
      <c r="M2" s="3">
        <f>IF($K2="V", $L2*H2, 0)</f>
        <v>0</v>
      </c>
      <c r="N2" s="3">
        <f t="shared" ref="N2:N5" si="2">IF($K2="F", $L2*#REF!, 0)</f>
        <v>0</v>
      </c>
      <c r="O2" s="3">
        <f t="shared" ref="O2:O265" si="3">IF($K2="M", $L2*H2, 0)</f>
        <v>0</v>
      </c>
      <c r="P2" s="4">
        <v>0.0</v>
      </c>
    </row>
    <row r="3">
      <c r="C3" s="2" t="s">
        <v>101</v>
      </c>
      <c r="D3" s="2" t="s">
        <v>102</v>
      </c>
      <c r="E3" s="2"/>
      <c r="G3" s="2" t="str">
        <f>IFERROR(__xludf.DUMMYFUNCTION("IFERROR(TEXTJOIN("", "", TRUE, FILTER(SPLIT(F3, "",""), ISERROR(MATCH(TRIM(SPLIT(F3, "","")), Membership!D:D, 0)))), ""NONE"")"),"NONE")</f>
        <v>NONE</v>
      </c>
      <c r="H3" s="2">
        <f>IFERROR(__xludf.DUMMYFUNCTION("IF($F3="""", 0, COUNTA(SPLIT($F3, "","")))"),0.0)</f>
        <v>0</v>
      </c>
      <c r="J3" s="3">
        <f t="shared" si="1"/>
        <v>0</v>
      </c>
      <c r="K3" s="2" t="s">
        <v>100</v>
      </c>
      <c r="M3" s="3">
        <f t="shared" ref="M3:M291" si="4">IF($K3="V", $L3*$H3, 0)</f>
        <v>0</v>
      </c>
      <c r="N3" s="3">
        <f t="shared" si="2"/>
        <v>0</v>
      </c>
      <c r="O3" s="3">
        <f t="shared" si="3"/>
        <v>0</v>
      </c>
      <c r="P3" s="4">
        <v>0.0</v>
      </c>
    </row>
    <row r="4">
      <c r="C4" s="2" t="s">
        <v>103</v>
      </c>
      <c r="D4" s="2" t="s">
        <v>102</v>
      </c>
      <c r="E4" s="2"/>
      <c r="G4" s="2" t="str">
        <f>IFERROR(__xludf.DUMMYFUNCTION("IFERROR(TEXTJOIN("", "", TRUE, FILTER(SPLIT(F4, "",""), ISERROR(MATCH(TRIM(SPLIT(F4, "","")), Membership!D:D, 0)))), ""NONE"")"),"NONE")</f>
        <v>NONE</v>
      </c>
      <c r="H4" s="2">
        <f>IFERROR(__xludf.DUMMYFUNCTION("IF($F4="""", 0, COUNTA(SPLIT($F4, "","")))"),0.0)</f>
        <v>0</v>
      </c>
      <c r="J4" s="3">
        <f t="shared" si="1"/>
        <v>0</v>
      </c>
      <c r="K4" s="2" t="s">
        <v>100</v>
      </c>
      <c r="M4" s="3">
        <f t="shared" si="4"/>
        <v>0</v>
      </c>
      <c r="N4" s="3">
        <f t="shared" si="2"/>
        <v>0</v>
      </c>
      <c r="O4" s="3">
        <f t="shared" si="3"/>
        <v>0</v>
      </c>
      <c r="P4" s="4">
        <v>0.0</v>
      </c>
    </row>
    <row r="5" ht="31.5" customHeight="1">
      <c r="C5" s="2" t="s">
        <v>104</v>
      </c>
      <c r="D5" s="2" t="s">
        <v>105</v>
      </c>
      <c r="E5" s="2" t="s">
        <v>106</v>
      </c>
      <c r="F5" s="2" t="s">
        <v>107</v>
      </c>
      <c r="G5" s="2" t="str">
        <f>IFERROR(__xludf.DUMMYFUNCTION("IFERROR(TEXTJOIN("", "", TRUE, FILTER(SPLIT(F5, "",""), ISERROR(MATCH(TRIM(SPLIT(F5, "","")), Membership!D:D, 0)))), ""NONE"")")," Matthew Combes")</f>
        <v> Matthew Combes</v>
      </c>
      <c r="H5" s="2">
        <f>IFERROR(__xludf.DUMMYFUNCTION("IF($F5="""", 0, COUNTA(SPLIT($F5, "","")))"),5.0)</f>
        <v>5</v>
      </c>
      <c r="I5" s="2">
        <v>0.0</v>
      </c>
      <c r="J5" s="3">
        <f t="shared" si="1"/>
        <v>5</v>
      </c>
      <c r="K5" s="2" t="s">
        <v>100</v>
      </c>
      <c r="L5" s="2">
        <v>4.5</v>
      </c>
      <c r="M5" s="3">
        <f t="shared" si="4"/>
        <v>22.5</v>
      </c>
      <c r="N5" s="3">
        <f t="shared" si="2"/>
        <v>0</v>
      </c>
      <c r="O5" s="3">
        <f t="shared" si="3"/>
        <v>0</v>
      </c>
      <c r="P5" s="4">
        <v>60.0</v>
      </c>
      <c r="Q5" s="5"/>
      <c r="R5" s="5"/>
    </row>
    <row r="6" ht="31.5" customHeight="1">
      <c r="A6" s="6">
        <v>45865.0</v>
      </c>
      <c r="B6" s="6">
        <v>45865.0</v>
      </c>
      <c r="C6" s="2" t="s">
        <v>108</v>
      </c>
      <c r="D6" s="2" t="s">
        <v>102</v>
      </c>
      <c r="E6" s="2" t="s">
        <v>109</v>
      </c>
      <c r="F6" s="2" t="s">
        <v>110</v>
      </c>
      <c r="G6" s="2" t="str">
        <f>IFERROR(__xludf.DUMMYFUNCTION("IFERROR(TEXTJOIN("", "", TRUE, FILTER(SPLIT(F6, "",""), ISERROR(MATCH(TRIM(SPLIT(F6, "","")), Membership!D:D, 0)))), ""NONE"")"),"NONE")</f>
        <v>NONE</v>
      </c>
      <c r="H6" s="2">
        <f>IFERROR(__xludf.DUMMYFUNCTION("IF($F6="""", 0, COUNTA(SPLIT($F6, "","")))"),4.0)</f>
        <v>4</v>
      </c>
      <c r="J6" s="3">
        <f t="shared" si="1"/>
        <v>4</v>
      </c>
      <c r="K6" s="2" t="s">
        <v>100</v>
      </c>
      <c r="M6" s="3">
        <f t="shared" si="4"/>
        <v>0</v>
      </c>
      <c r="N6" s="3">
        <f>IF($K6="F", $L6*$H6, 0)</f>
        <v>0</v>
      </c>
      <c r="O6" s="3">
        <f t="shared" si="3"/>
        <v>0</v>
      </c>
      <c r="P6" s="4">
        <v>0.0</v>
      </c>
      <c r="Q6" s="5"/>
      <c r="R6" s="5"/>
    </row>
    <row r="7" ht="31.5" customHeight="1">
      <c r="C7" s="2" t="s">
        <v>111</v>
      </c>
      <c r="D7" s="2" t="s">
        <v>105</v>
      </c>
      <c r="E7" s="2" t="s">
        <v>112</v>
      </c>
      <c r="F7" s="2" t="s">
        <v>113</v>
      </c>
      <c r="G7" s="2" t="str">
        <f>IFERROR(__xludf.DUMMYFUNCTION("IFERROR(TEXTJOIN("", "", TRUE, FILTER(SPLIT(F7, "",""), ISERROR(MATCH(TRIM(SPLIT(F7, "","")), Membership!D:D, 0)))), ""NONE"")"),"NONE")</f>
        <v>NONE</v>
      </c>
      <c r="H7" s="2">
        <v>3.0</v>
      </c>
      <c r="I7" s="2">
        <v>0.0</v>
      </c>
      <c r="J7" s="3">
        <f t="shared" si="1"/>
        <v>3</v>
      </c>
      <c r="K7" s="2" t="s">
        <v>100</v>
      </c>
      <c r="L7" s="2">
        <v>2.25</v>
      </c>
      <c r="M7" s="3">
        <f t="shared" si="4"/>
        <v>6.75</v>
      </c>
      <c r="N7" s="3">
        <f>IF($K7="F", $L7*$H5, 0)</f>
        <v>0</v>
      </c>
      <c r="O7" s="3">
        <f t="shared" si="3"/>
        <v>0</v>
      </c>
      <c r="P7" s="4">
        <v>0.0</v>
      </c>
      <c r="Q7" s="5"/>
      <c r="R7" s="5"/>
    </row>
    <row r="8" ht="31.5" customHeight="1">
      <c r="A8" s="6">
        <v>45869.0</v>
      </c>
      <c r="B8" s="6">
        <v>45869.0</v>
      </c>
      <c r="C8" s="2" t="s">
        <v>114</v>
      </c>
      <c r="D8" s="2" t="s">
        <v>105</v>
      </c>
      <c r="E8" s="2" t="s">
        <v>106</v>
      </c>
      <c r="F8" s="2" t="s">
        <v>115</v>
      </c>
      <c r="G8" s="2" t="str">
        <f>IFERROR(__xludf.DUMMYFUNCTION("IFERROR(TEXTJOIN("", "", TRUE, FILTER(SPLIT(F8, "",""), ISERROR(MATCH(TRIM(SPLIT(F8, "","")), Membership!D:D, 0)))), ""NONE"")"),"NONE")</f>
        <v>NONE</v>
      </c>
      <c r="H8" s="2">
        <f>IFERROR(__xludf.DUMMYFUNCTION("IF($F8="""", 0, COUNTA(SPLIT($F8, "","")))"),4.0)</f>
        <v>4</v>
      </c>
      <c r="I8" s="2">
        <v>2.0</v>
      </c>
      <c r="J8" s="3">
        <f t="shared" si="1"/>
        <v>6</v>
      </c>
      <c r="K8" s="2" t="s">
        <v>100</v>
      </c>
      <c r="L8" s="2">
        <v>4.25</v>
      </c>
      <c r="M8" s="3">
        <f t="shared" si="4"/>
        <v>17</v>
      </c>
      <c r="N8" s="3">
        <f t="shared" ref="N8:N999" si="5">IF($K8="F", $L8*$H8, 0)</f>
        <v>0</v>
      </c>
      <c r="O8" s="3">
        <f t="shared" si="3"/>
        <v>0</v>
      </c>
      <c r="P8" s="4">
        <v>0.0</v>
      </c>
      <c r="Q8" s="5"/>
      <c r="R8" s="5"/>
    </row>
    <row r="9" ht="31.5" customHeight="1">
      <c r="C9" s="2" t="s">
        <v>116</v>
      </c>
      <c r="D9" s="2" t="s">
        <v>117</v>
      </c>
      <c r="E9" s="2"/>
      <c r="F9" s="2" t="s">
        <v>118</v>
      </c>
      <c r="G9" s="2" t="str">
        <f>IFERROR(__xludf.DUMMYFUNCTION("IFERROR(TEXTJOIN("", "", TRUE, FILTER(SPLIT(F9, "",""), ISERROR(MATCH(TRIM(SPLIT(F9, "","")), Membership!D:D, 0)))), ""NONE"")"),"NONE")</f>
        <v>NONE</v>
      </c>
      <c r="H9" s="2">
        <f>IFERROR(__xludf.DUMMYFUNCTION("IF($F9="""", 0, COUNTA(SPLIT($F9, "","")))"),5.0)</f>
        <v>5</v>
      </c>
      <c r="J9" s="3">
        <f t="shared" si="1"/>
        <v>5</v>
      </c>
      <c r="K9" s="2" t="s">
        <v>119</v>
      </c>
      <c r="L9" s="2"/>
      <c r="M9" s="3">
        <f t="shared" si="4"/>
        <v>0</v>
      </c>
      <c r="N9" s="3">
        <f t="shared" si="5"/>
        <v>0</v>
      </c>
      <c r="O9" s="3">
        <f t="shared" si="3"/>
        <v>0</v>
      </c>
      <c r="P9" s="4">
        <v>-600.0</v>
      </c>
      <c r="Q9" s="5"/>
      <c r="R9" s="5"/>
    </row>
    <row r="10" ht="31.5" customHeight="1">
      <c r="A10" s="6">
        <v>45906.0</v>
      </c>
      <c r="B10" s="6">
        <v>45906.0</v>
      </c>
      <c r="C10" s="2" t="s">
        <v>120</v>
      </c>
      <c r="D10" s="2" t="s">
        <v>102</v>
      </c>
      <c r="E10" s="2" t="s">
        <v>109</v>
      </c>
      <c r="F10" s="2" t="s">
        <v>106</v>
      </c>
      <c r="G10" s="2" t="str">
        <f>IFERROR(__xludf.DUMMYFUNCTION("IFERROR(TEXTJOIN("", "", TRUE, FILTER(SPLIT(F10, "",""), ISERROR(MATCH(TRIM(SPLIT(F10, "","")), Membership!D:D, 0)))), ""NONE"")"),"NONE")</f>
        <v>NONE</v>
      </c>
      <c r="H10" s="2">
        <f>IFERROR(__xludf.DUMMYFUNCTION("IF($F10="""", 0, COUNTA(SPLIT($F10, "","")))"),1.0)</f>
        <v>1</v>
      </c>
      <c r="I10" s="2">
        <v>0.0</v>
      </c>
      <c r="J10" s="3">
        <f t="shared" si="1"/>
        <v>1</v>
      </c>
      <c r="K10" s="2" t="s">
        <v>100</v>
      </c>
      <c r="L10" s="2">
        <v>6.0</v>
      </c>
      <c r="M10" s="3">
        <f t="shared" si="4"/>
        <v>6</v>
      </c>
      <c r="N10" s="3">
        <f t="shared" si="5"/>
        <v>0</v>
      </c>
      <c r="O10" s="3">
        <f t="shared" si="3"/>
        <v>0</v>
      </c>
      <c r="P10" s="4">
        <v>70.0</v>
      </c>
      <c r="Q10" s="7" t="s">
        <v>121</v>
      </c>
      <c r="R10" s="7" t="s">
        <v>122</v>
      </c>
    </row>
    <row r="11" ht="31.5" customHeight="1">
      <c r="A11" s="6">
        <v>45926.0</v>
      </c>
      <c r="B11" s="6">
        <v>45928.0</v>
      </c>
      <c r="C11" s="2" t="s">
        <v>123</v>
      </c>
      <c r="D11" s="2" t="s">
        <v>102</v>
      </c>
      <c r="E11" s="2" t="s">
        <v>98</v>
      </c>
      <c r="F11" s="2" t="s">
        <v>124</v>
      </c>
      <c r="G11" s="2" t="str">
        <f>IFERROR(__xludf.DUMMYFUNCTION("IFERROR(TEXTJOIN("", "", TRUE, FILTER(SPLIT(F11, "",""), ISERROR(MATCH(TRIM(SPLIT(F11, "","")), Membership!D:D, 0)))), ""NONE"")"),"NONE")</f>
        <v>NONE</v>
      </c>
      <c r="H11" s="2">
        <f>IFERROR(__xludf.DUMMYFUNCTION("IF($F11="""", 0, COUNTA(SPLIT($F11, "","")))"),2.0)</f>
        <v>2</v>
      </c>
      <c r="I11" s="2">
        <v>0.0</v>
      </c>
      <c r="J11" s="3">
        <f t="shared" si="1"/>
        <v>2</v>
      </c>
      <c r="K11" s="2" t="s">
        <v>119</v>
      </c>
      <c r="L11" s="2">
        <v>21.0</v>
      </c>
      <c r="M11" s="3">
        <f t="shared" si="4"/>
        <v>0</v>
      </c>
      <c r="N11" s="3">
        <f t="shared" si="5"/>
        <v>42</v>
      </c>
      <c r="O11" s="3">
        <f t="shared" si="3"/>
        <v>0</v>
      </c>
      <c r="P11" s="4">
        <v>0.0</v>
      </c>
      <c r="Q11" s="7" t="s">
        <v>125</v>
      </c>
      <c r="R11" s="7" t="s">
        <v>126</v>
      </c>
    </row>
    <row r="12" ht="31.5" customHeight="1">
      <c r="A12" s="8">
        <v>45929.0</v>
      </c>
      <c r="B12" s="8">
        <v>45929.0</v>
      </c>
      <c r="C12" s="2" t="s">
        <v>127</v>
      </c>
      <c r="D12" s="2" t="s">
        <v>105</v>
      </c>
      <c r="E12" s="2" t="s">
        <v>106</v>
      </c>
      <c r="F12" s="2" t="s">
        <v>128</v>
      </c>
      <c r="G12" s="2" t="str">
        <f>IFERROR(__xludf.DUMMYFUNCTION("IFERROR(TEXTJOIN("", "", TRUE, FILTER(SPLIT(F12, "",""), ISERROR(MATCH(TRIM(SPLIT(F12, "","")), Membership!D:D, 0)))), ""NONE"")"),"NONE")</f>
        <v>NONE</v>
      </c>
      <c r="H12" s="2">
        <f>IFERROR(__xludf.DUMMYFUNCTION("IF($F12="""", 0, COUNTA(SPLIT($F12, "","")))"),2.0)</f>
        <v>2</v>
      </c>
      <c r="I12" s="2">
        <v>0.0</v>
      </c>
      <c r="J12" s="3">
        <f t="shared" si="1"/>
        <v>2</v>
      </c>
      <c r="K12" s="2" t="s">
        <v>100</v>
      </c>
      <c r="L12" s="2">
        <v>6.0</v>
      </c>
      <c r="M12" s="3">
        <f t="shared" si="4"/>
        <v>12</v>
      </c>
      <c r="N12" s="3">
        <f t="shared" si="5"/>
        <v>0</v>
      </c>
      <c r="O12" s="3">
        <f t="shared" si="3"/>
        <v>0</v>
      </c>
      <c r="P12" s="4">
        <v>0.0</v>
      </c>
      <c r="Q12" s="5"/>
      <c r="R12" s="5"/>
    </row>
    <row r="13" ht="31.5" customHeight="1">
      <c r="A13" s="6">
        <v>45939.0</v>
      </c>
      <c r="B13" s="6">
        <v>45939.0</v>
      </c>
      <c r="C13" s="2" t="s">
        <v>129</v>
      </c>
      <c r="D13" s="2" t="s">
        <v>130</v>
      </c>
      <c r="E13" s="2" t="s">
        <v>112</v>
      </c>
      <c r="F13" s="2" t="s">
        <v>131</v>
      </c>
      <c r="G13" s="2" t="str">
        <f>IFERROR(__xludf.DUMMYFUNCTION("IFERROR(TEXTJOIN("", "", TRUE, FILTER(SPLIT(F13, "",""), ISERROR(MATCH(TRIM(SPLIT(F13, "","")), Membership!D:D, 0)))), ""NONE"")"),"NONE")</f>
        <v>NONE</v>
      </c>
      <c r="H13" s="2">
        <f>IFERROR(__xludf.DUMMYFUNCTION("IF($F13="""", 0, COUNTA(SPLIT($F13, "","")))"),6.0)</f>
        <v>6</v>
      </c>
      <c r="I13" s="2">
        <v>0.0</v>
      </c>
      <c r="J13" s="3">
        <f t="shared" si="1"/>
        <v>6</v>
      </c>
      <c r="K13" s="2" t="s">
        <v>119</v>
      </c>
      <c r="L13" s="2">
        <v>1.75</v>
      </c>
      <c r="M13" s="3">
        <f t="shared" si="4"/>
        <v>0</v>
      </c>
      <c r="N13" s="3">
        <f t="shared" si="5"/>
        <v>10.5</v>
      </c>
      <c r="O13" s="3">
        <f t="shared" si="3"/>
        <v>0</v>
      </c>
      <c r="P13" s="4">
        <v>0.0</v>
      </c>
      <c r="Q13" s="5"/>
      <c r="R13" s="5"/>
    </row>
    <row r="14" ht="31.5" customHeight="1">
      <c r="C14" s="2" t="s">
        <v>132</v>
      </c>
      <c r="D14" s="2" t="s">
        <v>102</v>
      </c>
      <c r="E14" s="2" t="s">
        <v>109</v>
      </c>
      <c r="F14" s="2" t="s">
        <v>133</v>
      </c>
      <c r="G14" s="2" t="str">
        <f>IFERROR(__xludf.DUMMYFUNCTION("IFERROR(TEXTJOIN("", "", TRUE, FILTER(SPLIT(F14, "",""), ISERROR(MATCH(TRIM(SPLIT(F14, "","")), Membership!D:D, 0)))), ""NONE"")"),"NONE")</f>
        <v>NONE</v>
      </c>
      <c r="H14" s="2">
        <f>IFERROR(__xludf.DUMMYFUNCTION("IF($F14="""", 0, COUNTA(SPLIT($F14, "","")))"),4.0)</f>
        <v>4</v>
      </c>
      <c r="I14" s="2">
        <v>0.0</v>
      </c>
      <c r="J14" s="3">
        <f t="shared" si="1"/>
        <v>4</v>
      </c>
      <c r="K14" s="2" t="s">
        <v>100</v>
      </c>
      <c r="L14" s="2">
        <v>2.5</v>
      </c>
      <c r="M14" s="3">
        <f t="shared" si="4"/>
        <v>10</v>
      </c>
      <c r="N14" s="3">
        <f t="shared" si="5"/>
        <v>0</v>
      </c>
      <c r="O14" s="3">
        <f t="shared" si="3"/>
        <v>0</v>
      </c>
      <c r="P14" s="4">
        <v>0.0</v>
      </c>
      <c r="Q14" s="5"/>
      <c r="R14" s="5"/>
    </row>
    <row r="15" ht="31.5" customHeight="1">
      <c r="A15" s="8">
        <v>45940.0</v>
      </c>
      <c r="B15" s="8">
        <v>45940.0</v>
      </c>
      <c r="C15" s="2" t="s">
        <v>134</v>
      </c>
      <c r="D15" s="2" t="s">
        <v>135</v>
      </c>
      <c r="E15" s="2" t="s">
        <v>106</v>
      </c>
      <c r="F15" s="2" t="s">
        <v>136</v>
      </c>
      <c r="G15" s="2" t="str">
        <f>IFERROR(__xludf.DUMMYFUNCTION("IFERROR(TEXTJOIN("", "", TRUE, FILTER(SPLIT(F15, "",""), ISERROR(MATCH(TRIM(SPLIT(F15, "","")), Membership!D:D, 0)))), ""NONE"")"),"NONE")</f>
        <v>NONE</v>
      </c>
      <c r="H15" s="2">
        <f>IFERROR(__xludf.DUMMYFUNCTION("IF($F15="""", 0, COUNTA(SPLIT($F15, "","")))"),4.0)</f>
        <v>4</v>
      </c>
      <c r="I15" s="2">
        <v>1.0</v>
      </c>
      <c r="J15" s="3">
        <f t="shared" si="1"/>
        <v>5</v>
      </c>
      <c r="K15" s="2" t="s">
        <v>119</v>
      </c>
      <c r="L15" s="2">
        <v>4.25</v>
      </c>
      <c r="M15" s="3">
        <f t="shared" si="4"/>
        <v>0</v>
      </c>
      <c r="N15" s="3">
        <f t="shared" si="5"/>
        <v>17</v>
      </c>
      <c r="O15" s="3">
        <f t="shared" si="3"/>
        <v>0</v>
      </c>
      <c r="P15" s="4">
        <v>0.0</v>
      </c>
      <c r="Q15" s="5"/>
      <c r="R15" s="7" t="s">
        <v>137</v>
      </c>
    </row>
    <row r="16" ht="31.5" customHeight="1">
      <c r="A16" s="8">
        <v>45943.0</v>
      </c>
      <c r="B16" s="8">
        <v>45943.0</v>
      </c>
      <c r="C16" s="2" t="s">
        <v>138</v>
      </c>
      <c r="D16" s="2" t="s">
        <v>138</v>
      </c>
      <c r="E16" s="2" t="s">
        <v>106</v>
      </c>
      <c r="F16" s="2" t="s">
        <v>106</v>
      </c>
      <c r="G16" s="2" t="str">
        <f>IFERROR(__xludf.DUMMYFUNCTION("IFERROR(TEXTJOIN("", "", TRUE, FILTER(SPLIT(F16, "",""), ISERROR(MATCH(TRIM(SPLIT(F16, "","")), Membership!D:D, 0)))), ""NONE"")"),"NONE")</f>
        <v>NONE</v>
      </c>
      <c r="H16" s="2">
        <f>IFERROR(__xludf.DUMMYFUNCTION("IF($F16="""", 0, COUNTA(SPLIT($F16, "","")))"),1.0)</f>
        <v>1</v>
      </c>
      <c r="I16" s="2">
        <v>0.0</v>
      </c>
      <c r="J16" s="3">
        <f t="shared" si="1"/>
        <v>1</v>
      </c>
      <c r="K16" s="2" t="s">
        <v>100</v>
      </c>
      <c r="L16" s="2">
        <v>3.25</v>
      </c>
      <c r="M16" s="3">
        <f t="shared" si="4"/>
        <v>3.25</v>
      </c>
      <c r="N16" s="3">
        <f t="shared" si="5"/>
        <v>0</v>
      </c>
      <c r="O16" s="3">
        <f t="shared" si="3"/>
        <v>0</v>
      </c>
      <c r="P16" s="4">
        <v>0.0</v>
      </c>
      <c r="Q16" s="5"/>
      <c r="R16" s="5"/>
    </row>
    <row r="17" ht="31.5" customHeight="1">
      <c r="A17" s="8">
        <v>45942.0</v>
      </c>
      <c r="B17" s="8">
        <v>45942.0</v>
      </c>
      <c r="C17" s="2" t="s">
        <v>139</v>
      </c>
      <c r="D17" s="2" t="s">
        <v>140</v>
      </c>
      <c r="E17" s="2" t="s">
        <v>98</v>
      </c>
      <c r="F17" s="2" t="s">
        <v>141</v>
      </c>
      <c r="G17" s="2" t="str">
        <f>IFERROR(__xludf.DUMMYFUNCTION("IFERROR(TEXTJOIN("", "", TRUE, FILTER(SPLIT(F17, "",""), ISERROR(MATCH(TRIM(SPLIT(F17, "","")), Membership!D:D, 0)))), ""NONE"")")," Matthew Combes")</f>
        <v> Matthew Combes</v>
      </c>
      <c r="H17" s="2">
        <f>IFERROR(__xludf.DUMMYFUNCTION("IF($F17="""", 0, COUNTA(SPLIT($F17, "","")))"),8.0)</f>
        <v>8</v>
      </c>
      <c r="I17" s="2">
        <v>2.0</v>
      </c>
      <c r="J17" s="3">
        <f t="shared" si="1"/>
        <v>10</v>
      </c>
      <c r="K17" s="2" t="s">
        <v>142</v>
      </c>
      <c r="L17" s="2">
        <v>1.25</v>
      </c>
      <c r="M17" s="3">
        <f t="shared" si="4"/>
        <v>0</v>
      </c>
      <c r="N17" s="3">
        <f t="shared" si="5"/>
        <v>0</v>
      </c>
      <c r="O17" s="3">
        <f t="shared" si="3"/>
        <v>10</v>
      </c>
      <c r="P17" s="4">
        <v>130.0</v>
      </c>
      <c r="Q17" s="5"/>
      <c r="R17" s="5"/>
    </row>
    <row r="18" ht="31.5" customHeight="1">
      <c r="A18" s="8">
        <v>45954.0</v>
      </c>
      <c r="B18" s="8">
        <v>45954.0</v>
      </c>
      <c r="C18" s="2" t="s">
        <v>143</v>
      </c>
      <c r="D18" s="2" t="s">
        <v>143</v>
      </c>
      <c r="E18" s="2" t="s">
        <v>106</v>
      </c>
      <c r="F18" s="2" t="s">
        <v>144</v>
      </c>
      <c r="G18" s="2" t="str">
        <f>IFERROR(__xludf.DUMMYFUNCTION("IFERROR(TEXTJOIN("", "", TRUE, FILTER(SPLIT(F18, "",""), ISERROR(MATCH(TRIM(SPLIT(F18, "","")), Membership!D:D, 0)))), ""NONE"")")," Matthew Combes")</f>
        <v> Matthew Combes</v>
      </c>
      <c r="H18" s="2">
        <f>IFERROR(__xludf.DUMMYFUNCTION("IF($F18="""", 0, COUNTA(SPLIT($F18, "","")))"),7.0)</f>
        <v>7</v>
      </c>
      <c r="I18" s="2">
        <v>3.0</v>
      </c>
      <c r="J18" s="3">
        <f t="shared" si="1"/>
        <v>10</v>
      </c>
      <c r="K18" s="2" t="s">
        <v>119</v>
      </c>
      <c r="L18" s="2">
        <v>3.75</v>
      </c>
      <c r="M18" s="3">
        <f t="shared" si="4"/>
        <v>0</v>
      </c>
      <c r="N18" s="3">
        <f t="shared" si="5"/>
        <v>26.25</v>
      </c>
      <c r="O18" s="3">
        <f t="shared" si="3"/>
        <v>0</v>
      </c>
      <c r="P18" s="4">
        <v>0.0</v>
      </c>
      <c r="Q18" s="5"/>
      <c r="R18" s="5"/>
    </row>
    <row r="19" ht="31.5" customHeight="1">
      <c r="A19" s="8">
        <v>45956.0</v>
      </c>
      <c r="B19" s="8">
        <v>45956.0</v>
      </c>
      <c r="C19" s="2" t="s">
        <v>145</v>
      </c>
      <c r="D19" s="2" t="s">
        <v>146</v>
      </c>
      <c r="E19" s="2" t="s">
        <v>109</v>
      </c>
      <c r="F19" s="2" t="s">
        <v>147</v>
      </c>
      <c r="G19" s="2" t="str">
        <f>IFERROR(__xludf.DUMMYFUNCTION("IFERROR(TEXTJOIN("", "", TRUE, FILTER(SPLIT(F19, "",""), ISERROR(MATCH(TRIM(SPLIT(F19, "","")), Membership!D:D, 0)))), ""NONE"")"),"NONE")</f>
        <v>NONE</v>
      </c>
      <c r="H19" s="2">
        <f>IFERROR(__xludf.DUMMYFUNCTION("IF($F19="""", 0, COUNTA(SPLIT($F19, "","")))"),2.0)</f>
        <v>2</v>
      </c>
      <c r="I19" s="2">
        <v>1.0</v>
      </c>
      <c r="J19" s="3">
        <f t="shared" si="1"/>
        <v>3</v>
      </c>
      <c r="K19" s="2" t="s">
        <v>100</v>
      </c>
      <c r="L19" s="2">
        <v>2.0</v>
      </c>
      <c r="M19" s="3">
        <f t="shared" si="4"/>
        <v>4</v>
      </c>
      <c r="N19" s="3">
        <f t="shared" si="5"/>
        <v>0</v>
      </c>
      <c r="O19" s="3">
        <f t="shared" si="3"/>
        <v>0</v>
      </c>
      <c r="P19" s="4">
        <v>0.0</v>
      </c>
      <c r="Q19" s="5"/>
      <c r="R19" s="5"/>
    </row>
    <row r="20" ht="31.5" customHeight="1">
      <c r="A20" s="8">
        <v>45957.0</v>
      </c>
      <c r="B20" s="8">
        <v>45957.0</v>
      </c>
      <c r="C20" s="2" t="s">
        <v>138</v>
      </c>
      <c r="D20" s="2" t="s">
        <v>138</v>
      </c>
      <c r="E20" s="2" t="s">
        <v>106</v>
      </c>
      <c r="F20" s="2" t="s">
        <v>148</v>
      </c>
      <c r="G20" s="2" t="str">
        <f>IFERROR(__xludf.DUMMYFUNCTION("IFERROR(TEXTJOIN("", "", TRUE, FILTER(SPLIT(F20, "",""), ISERROR(MATCH(TRIM(SPLIT(F20, "","")), Membership!D:D, 0)))), ""NONE"")"),"NONE")</f>
        <v>NONE</v>
      </c>
      <c r="H20" s="2">
        <f>IFERROR(__xludf.DUMMYFUNCTION("IF($F20="""", 0, COUNTA(SPLIT($F20, "","")))"),4.0)</f>
        <v>4</v>
      </c>
      <c r="I20" s="2">
        <v>1.0</v>
      </c>
      <c r="J20" s="3">
        <f t="shared" si="1"/>
        <v>5</v>
      </c>
      <c r="K20" s="2" t="s">
        <v>100</v>
      </c>
      <c r="L20" s="2">
        <v>4.75</v>
      </c>
      <c r="M20" s="3">
        <f t="shared" si="4"/>
        <v>19</v>
      </c>
      <c r="N20" s="3">
        <f t="shared" si="5"/>
        <v>0</v>
      </c>
      <c r="O20" s="3">
        <f t="shared" si="3"/>
        <v>0</v>
      </c>
      <c r="P20" s="4">
        <v>0.0</v>
      </c>
      <c r="Q20" s="7" t="s">
        <v>149</v>
      </c>
      <c r="R20" s="7" t="s">
        <v>150</v>
      </c>
    </row>
    <row r="21" ht="31.5" customHeight="1">
      <c r="A21" s="6">
        <v>45962.0</v>
      </c>
      <c r="B21" s="6">
        <v>45962.0</v>
      </c>
      <c r="C21" s="2" t="s">
        <v>151</v>
      </c>
      <c r="D21" s="2" t="s">
        <v>152</v>
      </c>
      <c r="E21" s="2" t="s">
        <v>153</v>
      </c>
      <c r="F21" s="2" t="s">
        <v>154</v>
      </c>
      <c r="G21" s="2" t="str">
        <f>IFERROR(__xludf.DUMMYFUNCTION("IFERROR(TEXTJOIN("", "", TRUE, FILTER(SPLIT(F21, "",""), ISERROR(MATCH(TRIM(SPLIT(F21, "","")), Membership!D:D, 0)))), ""NONE"")"),"NONE")</f>
        <v>NONE</v>
      </c>
      <c r="H21" s="2">
        <f>IFERROR(__xludf.DUMMYFUNCTION("IF($F21="""", 0, COUNTA(SPLIT($F21, "","")))"),3.0)</f>
        <v>3</v>
      </c>
      <c r="I21" s="2">
        <v>1.0</v>
      </c>
      <c r="J21" s="3">
        <f t="shared" si="1"/>
        <v>4</v>
      </c>
      <c r="K21" s="2" t="s">
        <v>119</v>
      </c>
      <c r="L21" s="2">
        <v>2.5</v>
      </c>
      <c r="M21" s="3">
        <f t="shared" si="4"/>
        <v>0</v>
      </c>
      <c r="N21" s="3">
        <f t="shared" si="5"/>
        <v>7.5</v>
      </c>
      <c r="O21" s="3">
        <f t="shared" si="3"/>
        <v>0</v>
      </c>
      <c r="P21" s="4">
        <v>0.0</v>
      </c>
      <c r="Q21" s="5"/>
      <c r="R21" s="5"/>
    </row>
    <row r="22" ht="31.5" customHeight="1">
      <c r="A22" s="8">
        <v>45972.0</v>
      </c>
      <c r="B22" s="8">
        <v>45972.0</v>
      </c>
      <c r="C22" s="2" t="s">
        <v>155</v>
      </c>
      <c r="D22" s="2" t="s">
        <v>102</v>
      </c>
      <c r="E22" s="2" t="s">
        <v>98</v>
      </c>
      <c r="F22" s="2" t="s">
        <v>156</v>
      </c>
      <c r="G22" s="2" t="str">
        <f>IFERROR(__xludf.DUMMYFUNCTION("IFERROR(TEXTJOIN("", "", TRUE, FILTER(SPLIT(F22, "",""), ISERROR(MATCH(TRIM(SPLIT(F22, "","")), Membership!D:D, 0)))), ""NONE"")")," Matthew Combes,  Patrick Police")</f>
        <v> Matthew Combes,  Patrick Police</v>
      </c>
      <c r="H22" s="2">
        <f>IFERROR(__xludf.DUMMYFUNCTION("IF($F22="""", 0, COUNTA(SPLIT($F22, "","")))"),4.0)</f>
        <v>4</v>
      </c>
      <c r="J22" s="3">
        <f t="shared" si="1"/>
        <v>4</v>
      </c>
      <c r="K22" s="2" t="s">
        <v>100</v>
      </c>
      <c r="L22" s="2">
        <v>4.25</v>
      </c>
      <c r="M22" s="3">
        <f t="shared" si="4"/>
        <v>17</v>
      </c>
      <c r="N22" s="3">
        <f t="shared" si="5"/>
        <v>0</v>
      </c>
      <c r="O22" s="3">
        <f t="shared" si="3"/>
        <v>0</v>
      </c>
      <c r="P22" s="4">
        <v>0.0</v>
      </c>
      <c r="Q22" s="5"/>
      <c r="R22" s="5"/>
    </row>
    <row r="23" ht="31.5" customHeight="1">
      <c r="A23" s="8">
        <v>45974.0</v>
      </c>
      <c r="B23" s="8">
        <v>45974.0</v>
      </c>
      <c r="C23" s="2" t="s">
        <v>157</v>
      </c>
      <c r="D23" s="2" t="s">
        <v>130</v>
      </c>
      <c r="E23" s="2" t="s">
        <v>109</v>
      </c>
      <c r="F23" s="2" t="s">
        <v>158</v>
      </c>
      <c r="G23" s="2" t="str">
        <f>IFERROR(__xludf.DUMMYFUNCTION("IFERROR(TEXTJOIN("", "", TRUE, FILTER(SPLIT(F23, "",""), ISERROR(MATCH(TRIM(SPLIT(F23, "","")), Membership!D:D, 0)))), ""NONE"")"),"NONE")</f>
        <v>NONE</v>
      </c>
      <c r="H23" s="2">
        <f>IFERROR(__xludf.DUMMYFUNCTION("IF($F23="""", 0, COUNTA(SPLIT($F23, "","")))"),10.0)</f>
        <v>10</v>
      </c>
      <c r="I23" s="2">
        <v>6.0</v>
      </c>
      <c r="J23" s="3">
        <f t="shared" si="1"/>
        <v>16</v>
      </c>
      <c r="K23" s="2" t="s">
        <v>119</v>
      </c>
      <c r="L23" s="2">
        <v>1.5</v>
      </c>
      <c r="M23" s="3">
        <f t="shared" si="4"/>
        <v>0</v>
      </c>
      <c r="N23" s="3">
        <f t="shared" si="5"/>
        <v>15</v>
      </c>
      <c r="O23" s="3">
        <f t="shared" si="3"/>
        <v>0</v>
      </c>
      <c r="P23" s="4">
        <v>-42.99</v>
      </c>
      <c r="Q23" s="5"/>
      <c r="R23" s="7" t="s">
        <v>159</v>
      </c>
    </row>
    <row r="24" ht="31.5" customHeight="1">
      <c r="A24" s="8">
        <v>45979.0</v>
      </c>
      <c r="B24" s="8">
        <v>45979.0</v>
      </c>
      <c r="C24" s="2" t="s">
        <v>139</v>
      </c>
      <c r="D24" s="2" t="s">
        <v>140</v>
      </c>
      <c r="E24" s="2" t="s">
        <v>160</v>
      </c>
      <c r="F24" s="2" t="s">
        <v>161</v>
      </c>
      <c r="G24" s="2" t="str">
        <f>IFERROR(__xludf.DUMMYFUNCTION("IFERROR(TEXTJOIN("", "", TRUE, FILTER(SPLIT(F24, "",""), ISERROR(MATCH(TRIM(SPLIT(F24, "","")), Membership!D:D, 0)))), ""NONE"")"),"NONE")</f>
        <v>NONE</v>
      </c>
      <c r="H24" s="2">
        <f>IFERROR(__xludf.DUMMYFUNCTION("IF($F24="""", 0, COUNTA(SPLIT($F24, "","")))"),3.0)</f>
        <v>3</v>
      </c>
      <c r="I24" s="2">
        <v>1.0</v>
      </c>
      <c r="J24" s="3">
        <f t="shared" si="1"/>
        <v>4</v>
      </c>
      <c r="K24" s="2" t="s">
        <v>142</v>
      </c>
      <c r="L24" s="2">
        <v>0.25</v>
      </c>
      <c r="M24" s="3">
        <f t="shared" si="4"/>
        <v>0</v>
      </c>
      <c r="N24" s="3">
        <f t="shared" si="5"/>
        <v>0</v>
      </c>
      <c r="O24" s="3">
        <f t="shared" si="3"/>
        <v>0.75</v>
      </c>
      <c r="P24" s="4">
        <v>0.0</v>
      </c>
      <c r="Q24" s="5"/>
      <c r="R24" s="5"/>
    </row>
    <row r="25" ht="31.5" customHeight="1">
      <c r="A25" s="8">
        <v>45982.0</v>
      </c>
      <c r="B25" s="8">
        <v>45982.0</v>
      </c>
      <c r="C25" s="2" t="s">
        <v>143</v>
      </c>
      <c r="D25" s="2" t="s">
        <v>143</v>
      </c>
      <c r="E25" s="2" t="s">
        <v>106</v>
      </c>
      <c r="F25" s="2" t="s">
        <v>162</v>
      </c>
      <c r="G25" s="2" t="str">
        <f>IFERROR(__xludf.DUMMYFUNCTION("IFERROR(TEXTJOIN("", "", TRUE, FILTER(SPLIT(F25, "",""), ISERROR(MATCH(TRIM(SPLIT(F25, "","")), Membership!D:D, 0)))), ""NONE"")"),"Matthew Combes")</f>
        <v>Matthew Combes</v>
      </c>
      <c r="H25" s="2">
        <f>IFERROR(__xludf.DUMMYFUNCTION("IF($F25="""", 0, COUNTA(SPLIT($F25, "","")))"),9.0)</f>
        <v>9</v>
      </c>
      <c r="I25" s="2">
        <v>3.0</v>
      </c>
      <c r="J25" s="3">
        <f t="shared" si="1"/>
        <v>12</v>
      </c>
      <c r="K25" s="2" t="s">
        <v>119</v>
      </c>
      <c r="L25" s="2">
        <v>3.0</v>
      </c>
      <c r="M25" s="3">
        <f t="shared" si="4"/>
        <v>0</v>
      </c>
      <c r="N25" s="3">
        <f t="shared" si="5"/>
        <v>27</v>
      </c>
      <c r="O25" s="3">
        <f t="shared" si="3"/>
        <v>0</v>
      </c>
      <c r="P25" s="4">
        <v>0.0</v>
      </c>
      <c r="Q25" s="5"/>
      <c r="R25" s="7" t="s">
        <v>163</v>
      </c>
    </row>
    <row r="26" ht="31.5" customHeight="1">
      <c r="A26" s="8">
        <v>45986.0</v>
      </c>
      <c r="B26" s="8">
        <v>45986.0</v>
      </c>
      <c r="C26" s="2" t="s">
        <v>139</v>
      </c>
      <c r="D26" s="2" t="s">
        <v>140</v>
      </c>
      <c r="E26" s="2" t="s">
        <v>160</v>
      </c>
      <c r="F26" s="2" t="s">
        <v>164</v>
      </c>
      <c r="G26" s="2" t="str">
        <f>IFERROR(__xludf.DUMMYFUNCTION("IFERROR(TEXTJOIN("", "", TRUE, FILTER(SPLIT(F26, "",""), ISERROR(MATCH(TRIM(SPLIT(F26, "","")), Membership!D:D, 0)))), ""NONE"")"),"NONE")</f>
        <v>NONE</v>
      </c>
      <c r="H26" s="2">
        <f>IFERROR(__xludf.DUMMYFUNCTION("IF($F26="""", 0, COUNTA(SPLIT($F26, "","")))"),5.0)</f>
        <v>5</v>
      </c>
      <c r="J26" s="3">
        <f t="shared" si="1"/>
        <v>5</v>
      </c>
      <c r="K26" s="2" t="s">
        <v>142</v>
      </c>
      <c r="L26" s="2">
        <v>1.25</v>
      </c>
      <c r="M26" s="3">
        <f t="shared" si="4"/>
        <v>0</v>
      </c>
      <c r="N26" s="3">
        <f t="shared" si="5"/>
        <v>0</v>
      </c>
      <c r="O26" s="3">
        <f t="shared" si="3"/>
        <v>6.25</v>
      </c>
      <c r="P26" s="4">
        <v>0.0</v>
      </c>
      <c r="Q26" s="5"/>
      <c r="R26" s="5"/>
    </row>
    <row r="27" ht="31.5" customHeight="1">
      <c r="A27" s="8">
        <v>45986.0</v>
      </c>
      <c r="B27" s="8">
        <v>45986.0</v>
      </c>
      <c r="C27" s="2" t="s">
        <v>165</v>
      </c>
      <c r="D27" s="2" t="s">
        <v>166</v>
      </c>
      <c r="E27" s="2" t="s">
        <v>167</v>
      </c>
      <c r="F27" s="2" t="s">
        <v>168</v>
      </c>
      <c r="G27" s="2" t="str">
        <f>IFERROR(__xludf.DUMMYFUNCTION("IFERROR(TEXTJOIN("", "", TRUE, FILTER(SPLIT(F27, "",""), ISERROR(MATCH(TRIM(SPLIT(F27, "","")), Membership!D:D, 0)))), ""NONE"")"),"NONE")</f>
        <v>NONE</v>
      </c>
      <c r="H27" s="2">
        <f>IFERROR(__xludf.DUMMYFUNCTION("IF($F27="""", 0, COUNTA(SPLIT($F27, "","")))"),4.0)</f>
        <v>4</v>
      </c>
      <c r="J27" s="3">
        <f t="shared" si="1"/>
        <v>4</v>
      </c>
      <c r="K27" s="2" t="s">
        <v>100</v>
      </c>
      <c r="L27" s="2">
        <v>1.5</v>
      </c>
      <c r="M27" s="3">
        <f t="shared" si="4"/>
        <v>6</v>
      </c>
      <c r="N27" s="3">
        <f t="shared" si="5"/>
        <v>0</v>
      </c>
      <c r="O27" s="3">
        <f t="shared" si="3"/>
        <v>0</v>
      </c>
      <c r="P27" s="4">
        <v>0.0</v>
      </c>
      <c r="Q27" s="7" t="s">
        <v>169</v>
      </c>
      <c r="R27" s="5"/>
    </row>
    <row r="28" ht="31.5" customHeight="1">
      <c r="A28" s="8">
        <v>45976.0</v>
      </c>
      <c r="B28" s="8">
        <v>45976.0</v>
      </c>
      <c r="C28" s="2" t="s">
        <v>170</v>
      </c>
      <c r="D28" s="2" t="s">
        <v>166</v>
      </c>
      <c r="E28" s="2" t="s">
        <v>171</v>
      </c>
      <c r="F28" s="2" t="s">
        <v>172</v>
      </c>
      <c r="G28" s="2" t="str">
        <f>IFERROR(__xludf.DUMMYFUNCTION("IFERROR(TEXTJOIN("", "", TRUE, FILTER(SPLIT(#REF!, "",""), ISERROR(MATCH(TRIM(SPLIT(#REF!, "","")), Membership!D:D, 0)))), ""NONE"")"),"NONE")</f>
        <v>NONE</v>
      </c>
      <c r="H28" s="2">
        <f>IFERROR(__xludf.DUMMYFUNCTION("IF($F28="""", 0, COUNTA(SPLIT($F28, "","")))"),2.0)</f>
        <v>2</v>
      </c>
      <c r="J28" s="3">
        <f t="shared" si="1"/>
        <v>2</v>
      </c>
      <c r="K28" s="2" t="s">
        <v>100</v>
      </c>
      <c r="L28" s="2">
        <v>3.0</v>
      </c>
      <c r="M28" s="3">
        <f t="shared" si="4"/>
        <v>6</v>
      </c>
      <c r="N28" s="3">
        <f t="shared" si="5"/>
        <v>0</v>
      </c>
      <c r="O28" s="3">
        <f t="shared" si="3"/>
        <v>0</v>
      </c>
      <c r="P28" s="4">
        <v>-300.0</v>
      </c>
      <c r="Q28" s="5"/>
      <c r="R28" s="5"/>
    </row>
    <row r="29" ht="31.5" customHeight="1">
      <c r="A29" s="8">
        <v>45980.0</v>
      </c>
      <c r="B29" s="8">
        <v>45980.0</v>
      </c>
      <c r="C29" s="2" t="s">
        <v>173</v>
      </c>
      <c r="D29" s="2" t="s">
        <v>166</v>
      </c>
      <c r="E29" s="2" t="s">
        <v>171</v>
      </c>
      <c r="F29" s="2" t="s">
        <v>174</v>
      </c>
      <c r="G29" s="2" t="str">
        <f>IFERROR(__xludf.DUMMYFUNCTION("IFERROR(TEXTJOIN("", "", TRUE, FILTER(SPLIT(#REF!, "",""), ISERROR(MATCH(TRIM(SPLIT(#REF!, "","")), Membership!D:D, 0)))), ""NONE"")"),"NONE")</f>
        <v>NONE</v>
      </c>
      <c r="H29" s="2">
        <f>IFERROR(__xludf.DUMMYFUNCTION("IF($F29="""", 0, COUNTA(SPLIT($F29, "","")))"),2.0)</f>
        <v>2</v>
      </c>
      <c r="J29" s="3">
        <f t="shared" si="1"/>
        <v>2</v>
      </c>
      <c r="K29" s="2" t="s">
        <v>100</v>
      </c>
      <c r="L29" s="2">
        <v>1.0</v>
      </c>
      <c r="M29" s="3">
        <f t="shared" si="4"/>
        <v>2</v>
      </c>
      <c r="N29" s="3">
        <f t="shared" si="5"/>
        <v>0</v>
      </c>
      <c r="O29" s="3">
        <f t="shared" si="3"/>
        <v>0</v>
      </c>
      <c r="P29" s="4">
        <v>0.0</v>
      </c>
      <c r="Q29" s="5"/>
      <c r="R29" s="5"/>
    </row>
    <row r="30" ht="31.5" customHeight="1">
      <c r="A30" s="6">
        <v>45995.0</v>
      </c>
      <c r="B30" s="6">
        <v>45995.0</v>
      </c>
      <c r="C30" s="2" t="s">
        <v>175</v>
      </c>
      <c r="D30" s="2" t="s">
        <v>140</v>
      </c>
      <c r="E30" s="2" t="s">
        <v>109</v>
      </c>
      <c r="F30" s="2" t="s">
        <v>176</v>
      </c>
      <c r="G30" s="2" t="str">
        <f>IFERROR(__xludf.DUMMYFUNCTION("IFERROR(TEXTJOIN("", "", TRUE, FILTER(SPLIT(F30, "",""), ISERROR(MATCH(TRIM(SPLIT(F30, "","")), Membership!D:D, 0)))), ""NONE"")"),"NONE")</f>
        <v>NONE</v>
      </c>
      <c r="H30" s="2">
        <f>IFERROR(__xludf.DUMMYFUNCTION("IF($F30="""", 0, COUNTA(SPLIT($F30, "","")))"),3.0)</f>
        <v>3</v>
      </c>
      <c r="J30" s="3">
        <f t="shared" si="1"/>
        <v>3</v>
      </c>
      <c r="K30" s="2" t="s">
        <v>142</v>
      </c>
      <c r="L30" s="2">
        <v>1.0</v>
      </c>
      <c r="M30" s="3">
        <f t="shared" si="4"/>
        <v>0</v>
      </c>
      <c r="N30" s="3">
        <f t="shared" si="5"/>
        <v>0</v>
      </c>
      <c r="O30" s="3">
        <f t="shared" si="3"/>
        <v>3</v>
      </c>
      <c r="P30" s="4">
        <v>0.0</v>
      </c>
      <c r="Q30" s="5"/>
      <c r="R30" s="5"/>
    </row>
    <row r="31" ht="31.5" customHeight="1">
      <c r="A31" s="8">
        <v>46005.0</v>
      </c>
      <c r="B31" s="8">
        <v>46005.0</v>
      </c>
      <c r="C31" s="2" t="s">
        <v>139</v>
      </c>
      <c r="D31" s="2" t="s">
        <v>140</v>
      </c>
      <c r="E31" s="2" t="s">
        <v>98</v>
      </c>
      <c r="F31" s="2" t="s">
        <v>177</v>
      </c>
      <c r="G31" s="2" t="str">
        <f>IFERROR(__xludf.DUMMYFUNCTION("IFERROR(TEXTJOIN("", "", TRUE, FILTER(SPLIT(F31, "",""), ISERROR(MATCH(TRIM(SPLIT(F31, "","")), Membership!D:D, 0)))), ""NONE"")")," Matthew Combes")</f>
        <v> Matthew Combes</v>
      </c>
      <c r="H31" s="2">
        <f>IFERROR(__xludf.DUMMYFUNCTION("IF($F31="""", 0, COUNTA(SPLIT($F31, "","")))"),8.0)</f>
        <v>8</v>
      </c>
      <c r="J31" s="3">
        <f t="shared" si="1"/>
        <v>8</v>
      </c>
      <c r="K31" s="2" t="s">
        <v>142</v>
      </c>
      <c r="L31" s="2">
        <v>1.0</v>
      </c>
      <c r="M31" s="3">
        <f t="shared" si="4"/>
        <v>0</v>
      </c>
      <c r="N31" s="3">
        <f t="shared" si="5"/>
        <v>0</v>
      </c>
      <c r="O31" s="3">
        <f t="shared" si="3"/>
        <v>8</v>
      </c>
      <c r="P31" s="4">
        <v>0.0</v>
      </c>
      <c r="Q31" s="5"/>
      <c r="R31" s="5"/>
    </row>
    <row r="32" ht="31.5" customHeight="1">
      <c r="A32" s="8">
        <v>46005.0</v>
      </c>
      <c r="B32" s="8">
        <v>46005.0</v>
      </c>
      <c r="C32" s="2" t="s">
        <v>178</v>
      </c>
      <c r="D32" s="2" t="s">
        <v>146</v>
      </c>
      <c r="E32" s="2" t="s">
        <v>112</v>
      </c>
      <c r="F32" s="2" t="s">
        <v>179</v>
      </c>
      <c r="G32" s="2" t="str">
        <f>IFERROR(__xludf.DUMMYFUNCTION("IFERROR(TEXTJOIN("", "", TRUE, FILTER(SPLIT(F32, "",""), ISERROR(MATCH(TRIM(SPLIT(F32, "","")), Membership!D:D, 0)))), ""NONE"")")," Matthew Combes")</f>
        <v> Matthew Combes</v>
      </c>
      <c r="H32" s="2">
        <f>IFERROR(__xludf.DUMMYFUNCTION("IF($F32="""", 0, COUNTA(SPLIT($F32, "","")))"),5.0)</f>
        <v>5</v>
      </c>
      <c r="J32" s="3">
        <f t="shared" si="1"/>
        <v>5</v>
      </c>
      <c r="K32" s="2" t="s">
        <v>100</v>
      </c>
      <c r="L32" s="2">
        <v>2.0</v>
      </c>
      <c r="M32" s="3">
        <f t="shared" si="4"/>
        <v>10</v>
      </c>
      <c r="N32" s="3">
        <f t="shared" si="5"/>
        <v>0</v>
      </c>
      <c r="O32" s="3">
        <f t="shared" si="3"/>
        <v>0</v>
      </c>
      <c r="P32" s="4">
        <v>0.0</v>
      </c>
      <c r="Q32" s="5"/>
      <c r="R32" s="5"/>
    </row>
    <row r="33" ht="31.5" customHeight="1">
      <c r="A33" s="8">
        <v>46006.0</v>
      </c>
      <c r="B33" s="8">
        <v>46006.0</v>
      </c>
      <c r="C33" s="2" t="s">
        <v>180</v>
      </c>
      <c r="D33" s="2" t="s">
        <v>102</v>
      </c>
      <c r="E33" s="2" t="s">
        <v>109</v>
      </c>
      <c r="F33" s="2" t="s">
        <v>181</v>
      </c>
      <c r="G33" s="2" t="str">
        <f>IFERROR(__xludf.DUMMYFUNCTION("IFERROR(TEXTJOIN("", "", TRUE, FILTER(SPLIT(F33, "",""), ISERROR(MATCH(TRIM(SPLIT(F33, "","")), Membership!D:D, 0)))), ""NONE"")"),"NONE")</f>
        <v>NONE</v>
      </c>
      <c r="H33" s="2">
        <f>IFERROR(__xludf.DUMMYFUNCTION("IF($F33="""", 0, COUNTA(SPLIT($F33, "","")))"),2.0)</f>
        <v>2</v>
      </c>
      <c r="J33" s="3">
        <f t="shared" si="1"/>
        <v>2</v>
      </c>
      <c r="K33" s="2" t="s">
        <v>100</v>
      </c>
      <c r="L33" s="2">
        <v>2.5</v>
      </c>
      <c r="M33" s="3">
        <f t="shared" si="4"/>
        <v>5</v>
      </c>
      <c r="N33" s="3">
        <f t="shared" si="5"/>
        <v>0</v>
      </c>
      <c r="O33" s="3">
        <f t="shared" si="3"/>
        <v>0</v>
      </c>
      <c r="P33" s="4">
        <v>0.0</v>
      </c>
      <c r="Q33" s="5"/>
      <c r="R33" s="5"/>
    </row>
    <row r="34" ht="31.5" customHeight="1">
      <c r="A34" s="8">
        <v>46012.0</v>
      </c>
      <c r="B34" s="8">
        <v>46012.0</v>
      </c>
      <c r="C34" s="2" t="s">
        <v>103</v>
      </c>
      <c r="D34" s="2" t="s">
        <v>102</v>
      </c>
      <c r="G34" s="2" t="str">
        <f>IFERROR(__xludf.DUMMYFUNCTION("IFERROR(TEXTJOIN("", "", TRUE, FILTER(SPLIT(F34, "",""), ISERROR(MATCH(TRIM(SPLIT(F34, "","")), Membership!D:D, 0)))), ""NONE"")"),"NONE")</f>
        <v>NONE</v>
      </c>
      <c r="H34" s="2">
        <f>IFERROR(__xludf.DUMMYFUNCTION("IF($F34="""", 0, COUNTA(SPLIT($F34, "","")))"),0.0)</f>
        <v>0</v>
      </c>
      <c r="J34" s="3">
        <f t="shared" si="1"/>
        <v>0</v>
      </c>
      <c r="K34" s="2" t="s">
        <v>100</v>
      </c>
      <c r="M34" s="3">
        <f t="shared" si="4"/>
        <v>0</v>
      </c>
      <c r="N34" s="3">
        <f t="shared" si="5"/>
        <v>0</v>
      </c>
      <c r="O34" s="3">
        <f t="shared" si="3"/>
        <v>0</v>
      </c>
      <c r="P34" s="4">
        <v>0.0</v>
      </c>
      <c r="Q34" s="5"/>
      <c r="R34" s="5"/>
    </row>
    <row r="35" ht="31.5" customHeight="1">
      <c r="A35" s="6">
        <v>45666.0</v>
      </c>
      <c r="B35" s="6">
        <v>45668.0</v>
      </c>
      <c r="C35" s="2" t="s">
        <v>182</v>
      </c>
      <c r="G35" s="2" t="str">
        <f>IFERROR(__xludf.DUMMYFUNCTION("IFERROR(TEXTJOIN("", "", TRUE, FILTER(SPLIT(F35, "",""), ISERROR(MATCH(TRIM(SPLIT(F35, "","")), Membership!D:D, 0)))), ""NONE"")"),"NONE")</f>
        <v>NONE</v>
      </c>
      <c r="H35" s="2">
        <f>IFERROR(__xludf.DUMMYFUNCTION("IF($F35="""", 0, COUNTA(SPLIT($F35, "","")))"),0.0)</f>
        <v>0</v>
      </c>
      <c r="J35" s="3">
        <f t="shared" si="1"/>
        <v>0</v>
      </c>
      <c r="K35" s="2" t="s">
        <v>142</v>
      </c>
      <c r="M35" s="3">
        <f t="shared" si="4"/>
        <v>0</v>
      </c>
      <c r="N35" s="3">
        <f t="shared" si="5"/>
        <v>0</v>
      </c>
      <c r="O35" s="3">
        <f t="shared" si="3"/>
        <v>0</v>
      </c>
      <c r="P35" s="4">
        <v>0.0</v>
      </c>
      <c r="Q35" s="5"/>
      <c r="R35" s="5"/>
    </row>
    <row r="36" ht="31.5" customHeight="1">
      <c r="A36" s="6">
        <v>45673.0</v>
      </c>
      <c r="B36" s="6">
        <v>45673.0</v>
      </c>
      <c r="C36" s="2" t="s">
        <v>183</v>
      </c>
      <c r="G36" s="2" t="str">
        <f>IFERROR(__xludf.DUMMYFUNCTION("IFERROR(TEXTJOIN("", "", TRUE, FILTER(SPLIT(F36, "",""), ISERROR(MATCH(TRIM(SPLIT(F36, "","")), Membership!D:D, 0)))), ""NONE"")"),"NONE")</f>
        <v>NONE</v>
      </c>
      <c r="H36" s="2">
        <f>IFERROR(__xludf.DUMMYFUNCTION("IF($F36="""", 0, COUNTA(SPLIT($F36, "","")))"),0.0)</f>
        <v>0</v>
      </c>
      <c r="J36" s="3">
        <f t="shared" si="1"/>
        <v>0</v>
      </c>
      <c r="K36" s="2" t="s">
        <v>142</v>
      </c>
      <c r="M36" s="3">
        <f t="shared" si="4"/>
        <v>0</v>
      </c>
      <c r="N36" s="3">
        <f t="shared" si="5"/>
        <v>0</v>
      </c>
      <c r="O36" s="3">
        <f t="shared" si="3"/>
        <v>0</v>
      </c>
      <c r="P36" s="4">
        <v>0.0</v>
      </c>
      <c r="Q36" s="5"/>
      <c r="R36" s="5"/>
    </row>
    <row r="37" ht="31.5" customHeight="1">
      <c r="A37" s="6">
        <v>45681.0</v>
      </c>
      <c r="B37" s="6">
        <v>45681.0</v>
      </c>
      <c r="C37" s="2" t="s">
        <v>97</v>
      </c>
      <c r="D37" s="2" t="s">
        <v>97</v>
      </c>
      <c r="G37" s="2" t="str">
        <f>IFERROR(__xludf.DUMMYFUNCTION("IFERROR(TEXTJOIN("", "", TRUE, FILTER(SPLIT(F37, "",""), ISERROR(MATCH(TRIM(SPLIT(F37, "","")), Membership!D:D, 0)))), ""NONE"")"),"NONE")</f>
        <v>NONE</v>
      </c>
      <c r="H37" s="2">
        <f>IFERROR(__xludf.DUMMYFUNCTION("IF($F37="""", 0, COUNTA(SPLIT($F37, "","")))"),0.0)</f>
        <v>0</v>
      </c>
      <c r="J37" s="3">
        <f t="shared" si="1"/>
        <v>0</v>
      </c>
      <c r="K37" s="2" t="s">
        <v>100</v>
      </c>
      <c r="M37" s="3">
        <f t="shared" si="4"/>
        <v>0</v>
      </c>
      <c r="N37" s="3">
        <f t="shared" si="5"/>
        <v>0</v>
      </c>
      <c r="O37" s="3">
        <f t="shared" si="3"/>
        <v>0</v>
      </c>
      <c r="P37" s="4">
        <v>0.0</v>
      </c>
      <c r="Q37" s="5"/>
      <c r="R37" s="5"/>
    </row>
    <row r="38" ht="31.5" customHeight="1">
      <c r="G38" s="2" t="str">
        <f>IFERROR(__xludf.DUMMYFUNCTION("IFERROR(TEXTJOIN("", "", TRUE, FILTER(SPLIT(F38, "",""), ISERROR(MATCH(TRIM(SPLIT(F38, "","")), Membership!D:D, 0)))), ""NONE"")"),"NONE")</f>
        <v>NONE</v>
      </c>
      <c r="H38" s="2">
        <f>IFERROR(__xludf.DUMMYFUNCTION("IF($F38="""", 0, COUNTA(SPLIT($F38, "","")))"),0.0)</f>
        <v>0</v>
      </c>
      <c r="J38" s="3">
        <f t="shared" si="1"/>
        <v>0</v>
      </c>
      <c r="M38" s="3">
        <f t="shared" si="4"/>
        <v>0</v>
      </c>
      <c r="N38" s="3">
        <f t="shared" si="5"/>
        <v>0</v>
      </c>
      <c r="O38" s="3">
        <f t="shared" si="3"/>
        <v>0</v>
      </c>
      <c r="P38" s="4">
        <v>0.0</v>
      </c>
      <c r="Q38" s="5"/>
      <c r="R38" s="5"/>
    </row>
    <row r="39" ht="31.5" customHeight="1">
      <c r="G39" s="2" t="str">
        <f>IFERROR(__xludf.DUMMYFUNCTION("IFERROR(TEXTJOIN("", "", TRUE, FILTER(SPLIT(F39, "",""), ISERROR(MATCH(TRIM(SPLIT(F39, "","")), Membership!D:D, 0)))), ""NONE"")"),"NONE")</f>
        <v>NONE</v>
      </c>
      <c r="H39" s="2">
        <f>IFERROR(__xludf.DUMMYFUNCTION("IF($F39="""", 0, COUNTA(SPLIT($F39, "","")))"),0.0)</f>
        <v>0</v>
      </c>
      <c r="J39" s="3">
        <f t="shared" si="1"/>
        <v>0</v>
      </c>
      <c r="M39" s="3">
        <f t="shared" si="4"/>
        <v>0</v>
      </c>
      <c r="N39" s="3">
        <f t="shared" si="5"/>
        <v>0</v>
      </c>
      <c r="O39" s="3">
        <f t="shared" si="3"/>
        <v>0</v>
      </c>
      <c r="P39" s="4">
        <v>0.0</v>
      </c>
      <c r="Q39" s="5"/>
      <c r="R39" s="5"/>
    </row>
    <row r="40" ht="31.5" customHeight="1">
      <c r="G40" s="2" t="str">
        <f>IFERROR(__xludf.DUMMYFUNCTION("IFERROR(TEXTJOIN("", "", TRUE, FILTER(SPLIT(F40, "",""), ISERROR(MATCH(TRIM(SPLIT(F40, "","")), Membership!D:D, 0)))), ""NONE"")"),"NONE")</f>
        <v>NONE</v>
      </c>
      <c r="H40" s="2">
        <f>IFERROR(__xludf.DUMMYFUNCTION("IF($F40="""", 0, COUNTA(SPLIT($F40, "","")))"),0.0)</f>
        <v>0</v>
      </c>
      <c r="J40" s="3">
        <f t="shared" si="1"/>
        <v>0</v>
      </c>
      <c r="M40" s="3">
        <f t="shared" si="4"/>
        <v>0</v>
      </c>
      <c r="N40" s="3">
        <f t="shared" si="5"/>
        <v>0</v>
      </c>
      <c r="O40" s="3">
        <f t="shared" si="3"/>
        <v>0</v>
      </c>
      <c r="P40" s="4">
        <v>0.0</v>
      </c>
      <c r="Q40" s="5"/>
      <c r="R40" s="5"/>
    </row>
    <row r="41" ht="31.5" customHeight="1">
      <c r="G41" s="2" t="str">
        <f>IFERROR(__xludf.DUMMYFUNCTION("IFERROR(TEXTJOIN("", "", TRUE, FILTER(SPLIT(F41, "",""), ISERROR(MATCH(TRIM(SPLIT(F41, "","")), Membership!D:D, 0)))), ""NONE"")"),"NONE")</f>
        <v>NONE</v>
      </c>
      <c r="H41" s="2">
        <f>IFERROR(__xludf.DUMMYFUNCTION("IF($F41="""", 0, COUNTA(SPLIT($F41, "","")))"),0.0)</f>
        <v>0</v>
      </c>
      <c r="J41" s="3">
        <f t="shared" si="1"/>
        <v>0</v>
      </c>
      <c r="M41" s="3">
        <f t="shared" si="4"/>
        <v>0</v>
      </c>
      <c r="N41" s="3">
        <f t="shared" si="5"/>
        <v>0</v>
      </c>
      <c r="O41" s="3">
        <f t="shared" si="3"/>
        <v>0</v>
      </c>
      <c r="P41" s="4">
        <v>0.0</v>
      </c>
      <c r="Q41" s="5"/>
      <c r="R41" s="5"/>
    </row>
    <row r="42" ht="31.5" customHeight="1">
      <c r="G42" s="2" t="str">
        <f>IFERROR(__xludf.DUMMYFUNCTION("IFERROR(TEXTJOIN("", "", TRUE, FILTER(SPLIT(F42, "",""), ISERROR(MATCH(TRIM(SPLIT(F42, "","")), Membership!D:D, 0)))), ""NONE"")"),"NONE")</f>
        <v>NONE</v>
      </c>
      <c r="H42" s="2">
        <f>IFERROR(__xludf.DUMMYFUNCTION("IF($F42="""", 0, COUNTA(SPLIT($F42, "","")))"),0.0)</f>
        <v>0</v>
      </c>
      <c r="J42" s="3">
        <f t="shared" si="1"/>
        <v>0</v>
      </c>
      <c r="M42" s="3">
        <f t="shared" si="4"/>
        <v>0</v>
      </c>
      <c r="N42" s="3">
        <f t="shared" si="5"/>
        <v>0</v>
      </c>
      <c r="O42" s="3">
        <f t="shared" si="3"/>
        <v>0</v>
      </c>
      <c r="P42" s="4">
        <v>0.0</v>
      </c>
      <c r="Q42" s="5"/>
      <c r="R42" s="5"/>
    </row>
    <row r="43" ht="31.5" customHeight="1">
      <c r="G43" s="2" t="str">
        <f>IFERROR(__xludf.DUMMYFUNCTION("IFERROR(TEXTJOIN("", "", TRUE, FILTER(SPLIT(F43, "",""), ISERROR(MATCH(TRIM(SPLIT(F43, "","")), Membership!D:D, 0)))), ""NONE"")"),"NONE")</f>
        <v>NONE</v>
      </c>
      <c r="H43" s="2">
        <f>IFERROR(__xludf.DUMMYFUNCTION("IF($F43="""", 0, COUNTA(SPLIT($F43, "","")))"),0.0)</f>
        <v>0</v>
      </c>
      <c r="J43" s="3">
        <f t="shared" si="1"/>
        <v>0</v>
      </c>
      <c r="M43" s="3">
        <f t="shared" si="4"/>
        <v>0</v>
      </c>
      <c r="N43" s="3">
        <f t="shared" si="5"/>
        <v>0</v>
      </c>
      <c r="O43" s="3">
        <f t="shared" si="3"/>
        <v>0</v>
      </c>
      <c r="P43" s="4">
        <v>0.0</v>
      </c>
      <c r="Q43" s="5"/>
      <c r="R43" s="5"/>
    </row>
    <row r="44" ht="31.5" customHeight="1">
      <c r="G44" s="2" t="str">
        <f>IFERROR(__xludf.DUMMYFUNCTION("IFERROR(TEXTJOIN("", "", TRUE, FILTER(SPLIT(F44, "",""), ISERROR(MATCH(TRIM(SPLIT(F44, "","")), Membership!D:D, 0)))), ""NONE"")"),"NONE")</f>
        <v>NONE</v>
      </c>
      <c r="H44" s="2">
        <f>IFERROR(__xludf.DUMMYFUNCTION("IF($F44="""", 0, COUNTA(SPLIT($F44, "","")))"),0.0)</f>
        <v>0</v>
      </c>
      <c r="J44" s="3">
        <f t="shared" si="1"/>
        <v>0</v>
      </c>
      <c r="M44" s="3">
        <f t="shared" si="4"/>
        <v>0</v>
      </c>
      <c r="N44" s="3">
        <f t="shared" si="5"/>
        <v>0</v>
      </c>
      <c r="O44" s="3">
        <f t="shared" si="3"/>
        <v>0</v>
      </c>
      <c r="P44" s="4">
        <v>0.0</v>
      </c>
      <c r="Q44" s="5"/>
      <c r="R44" s="5"/>
    </row>
    <row r="45" ht="31.5" customHeight="1">
      <c r="G45" s="2" t="str">
        <f>IFERROR(__xludf.DUMMYFUNCTION("IFERROR(TEXTJOIN("", "", TRUE, FILTER(SPLIT(F45, "",""), ISERROR(MATCH(TRIM(SPLIT(F45, "","")), Membership!D:D, 0)))), ""NONE"")"),"NONE")</f>
        <v>NONE</v>
      </c>
      <c r="H45" s="2">
        <f>IFERROR(__xludf.DUMMYFUNCTION("IF($F45="""", 0, COUNTA(SPLIT($F45, "","")))"),0.0)</f>
        <v>0</v>
      </c>
      <c r="J45" s="3">
        <f t="shared" si="1"/>
        <v>0</v>
      </c>
      <c r="M45" s="3">
        <f t="shared" si="4"/>
        <v>0</v>
      </c>
      <c r="N45" s="3">
        <f t="shared" si="5"/>
        <v>0</v>
      </c>
      <c r="O45" s="3">
        <f t="shared" si="3"/>
        <v>0</v>
      </c>
      <c r="P45" s="4">
        <v>0.0</v>
      </c>
      <c r="Q45" s="5"/>
      <c r="R45" s="5"/>
    </row>
    <row r="46" ht="31.5" customHeight="1">
      <c r="G46" s="2" t="str">
        <f>IFERROR(__xludf.DUMMYFUNCTION("IFERROR(TEXTJOIN("", "", TRUE, FILTER(SPLIT(F46, "",""), ISERROR(MATCH(TRIM(SPLIT(F46, "","")), Membership!D:D, 0)))), ""NONE"")"),"NONE")</f>
        <v>NONE</v>
      </c>
      <c r="H46" s="2">
        <f>IFERROR(__xludf.DUMMYFUNCTION("IF($F46="""", 0, COUNTA(SPLIT($F46, "","")))"),0.0)</f>
        <v>0</v>
      </c>
      <c r="J46" s="3">
        <f t="shared" si="1"/>
        <v>0</v>
      </c>
      <c r="M46" s="3">
        <f t="shared" si="4"/>
        <v>0</v>
      </c>
      <c r="N46" s="3">
        <f t="shared" si="5"/>
        <v>0</v>
      </c>
      <c r="O46" s="3">
        <f t="shared" si="3"/>
        <v>0</v>
      </c>
      <c r="P46" s="4">
        <v>0.0</v>
      </c>
      <c r="Q46" s="5"/>
      <c r="R46" s="5"/>
    </row>
    <row r="47" ht="31.5" customHeight="1">
      <c r="G47" s="2" t="str">
        <f>IFERROR(__xludf.DUMMYFUNCTION("IFERROR(TEXTJOIN("", "", TRUE, FILTER(SPLIT(F47, "",""), ISERROR(MATCH(TRIM(SPLIT(F47, "","")), Membership!D:D, 0)))), ""NONE"")"),"NONE")</f>
        <v>NONE</v>
      </c>
      <c r="H47" s="2">
        <f>IFERROR(__xludf.DUMMYFUNCTION("IF($F47="""", 0, COUNTA(SPLIT($F47, "","")))"),0.0)</f>
        <v>0</v>
      </c>
      <c r="J47" s="3">
        <f t="shared" si="1"/>
        <v>0</v>
      </c>
      <c r="M47" s="3">
        <f t="shared" si="4"/>
        <v>0</v>
      </c>
      <c r="N47" s="3">
        <f t="shared" si="5"/>
        <v>0</v>
      </c>
      <c r="O47" s="3">
        <f t="shared" si="3"/>
        <v>0</v>
      </c>
      <c r="P47" s="4">
        <v>0.0</v>
      </c>
      <c r="Q47" s="5"/>
      <c r="R47" s="5"/>
    </row>
    <row r="48" ht="31.5" customHeight="1">
      <c r="G48" s="2" t="str">
        <f>IFERROR(__xludf.DUMMYFUNCTION("IFERROR(TEXTJOIN("", "", TRUE, FILTER(SPLIT(F48, "",""), ISERROR(MATCH(TRIM(SPLIT(F48, "","")), Membership!D:D, 0)))), ""NONE"")"),"NONE")</f>
        <v>NONE</v>
      </c>
      <c r="H48" s="2">
        <f>IFERROR(__xludf.DUMMYFUNCTION("IF($F48="""", 0, COUNTA(SPLIT($F48, "","")))"),0.0)</f>
        <v>0</v>
      </c>
      <c r="J48" s="3">
        <f t="shared" si="1"/>
        <v>0</v>
      </c>
      <c r="M48" s="3">
        <f t="shared" si="4"/>
        <v>0</v>
      </c>
      <c r="N48" s="3">
        <f t="shared" si="5"/>
        <v>0</v>
      </c>
      <c r="O48" s="3">
        <f t="shared" si="3"/>
        <v>0</v>
      </c>
      <c r="P48" s="4">
        <v>0.0</v>
      </c>
      <c r="Q48" s="5"/>
      <c r="R48" s="5"/>
    </row>
    <row r="49" ht="31.5" customHeight="1">
      <c r="G49" s="2" t="str">
        <f>IFERROR(__xludf.DUMMYFUNCTION("IFERROR(TEXTJOIN("", "", TRUE, FILTER(SPLIT(F49, "",""), ISERROR(MATCH(TRIM(SPLIT(F49, "","")), Membership!D:D, 0)))), ""NONE"")"),"NONE")</f>
        <v>NONE</v>
      </c>
      <c r="H49" s="2">
        <f>IFERROR(__xludf.DUMMYFUNCTION("IF($F49="""", 0, COUNTA(SPLIT($F49, "","")))"),0.0)</f>
        <v>0</v>
      </c>
      <c r="J49" s="3">
        <f t="shared" si="1"/>
        <v>0</v>
      </c>
      <c r="M49" s="3">
        <f t="shared" si="4"/>
        <v>0</v>
      </c>
      <c r="N49" s="3">
        <f t="shared" si="5"/>
        <v>0</v>
      </c>
      <c r="O49" s="3">
        <f t="shared" si="3"/>
        <v>0</v>
      </c>
      <c r="P49" s="4">
        <v>0.0</v>
      </c>
      <c r="Q49" s="5"/>
      <c r="R49" s="5"/>
    </row>
    <row r="50" ht="31.5" customHeight="1">
      <c r="G50" s="2" t="str">
        <f>IFERROR(__xludf.DUMMYFUNCTION("IFERROR(TEXTJOIN("", "", TRUE, FILTER(SPLIT(F50, "",""), ISERROR(MATCH(TRIM(SPLIT(F50, "","")), Membership!D:D, 0)))), ""NONE"")"),"NONE")</f>
        <v>NONE</v>
      </c>
      <c r="H50" s="2">
        <f>IFERROR(__xludf.DUMMYFUNCTION("IF($F50="""", 0, COUNTA(SPLIT($F50, "","")))"),0.0)</f>
        <v>0</v>
      </c>
      <c r="J50" s="3">
        <f t="shared" si="1"/>
        <v>0</v>
      </c>
      <c r="M50" s="3">
        <f t="shared" si="4"/>
        <v>0</v>
      </c>
      <c r="N50" s="3">
        <f t="shared" si="5"/>
        <v>0</v>
      </c>
      <c r="O50" s="3">
        <f t="shared" si="3"/>
        <v>0</v>
      </c>
      <c r="P50" s="4">
        <v>0.0</v>
      </c>
      <c r="Q50" s="5"/>
      <c r="R50" s="5"/>
    </row>
    <row r="51" ht="31.5" customHeight="1">
      <c r="G51" s="2" t="str">
        <f>IFERROR(__xludf.DUMMYFUNCTION("IFERROR(TEXTJOIN("", "", TRUE, FILTER(SPLIT(F51, "",""), ISERROR(MATCH(TRIM(SPLIT(F51, "","")), Membership!D:D, 0)))), ""NONE"")"),"NONE")</f>
        <v>NONE</v>
      </c>
      <c r="M51" s="3">
        <f t="shared" si="4"/>
        <v>0</v>
      </c>
      <c r="N51" s="3">
        <f t="shared" si="5"/>
        <v>0</v>
      </c>
      <c r="O51" s="3">
        <f t="shared" si="3"/>
        <v>0</v>
      </c>
      <c r="P51" s="4">
        <v>0.0</v>
      </c>
      <c r="Q51" s="5"/>
      <c r="R51" s="5"/>
    </row>
    <row r="52" ht="31.5" customHeight="1">
      <c r="G52" s="2" t="str">
        <f>IFERROR(__xludf.DUMMYFUNCTION("IFERROR(TEXTJOIN("", "", TRUE, FILTER(SPLIT(F52, "",""), ISERROR(MATCH(TRIM(SPLIT(F52, "","")), Membership!D:D, 0)))), ""NONE"")"),"NONE")</f>
        <v>NONE</v>
      </c>
      <c r="M52" s="3">
        <f t="shared" si="4"/>
        <v>0</v>
      </c>
      <c r="N52" s="3">
        <f t="shared" si="5"/>
        <v>0</v>
      </c>
      <c r="O52" s="3">
        <f t="shared" si="3"/>
        <v>0</v>
      </c>
      <c r="P52" s="4">
        <v>0.0</v>
      </c>
      <c r="Q52" s="5"/>
      <c r="R52" s="5"/>
    </row>
    <row r="53" ht="31.5" customHeight="1">
      <c r="G53" s="2" t="str">
        <f>IFERROR(__xludf.DUMMYFUNCTION("IFERROR(TEXTJOIN("", "", TRUE, FILTER(SPLIT(F53, "",""), ISERROR(MATCH(TRIM(SPLIT(F53, "","")), Membership!D:D, 0)))), ""NONE"")"),"NONE")</f>
        <v>NONE</v>
      </c>
      <c r="M53" s="3">
        <f t="shared" si="4"/>
        <v>0</v>
      </c>
      <c r="N53" s="3">
        <f t="shared" si="5"/>
        <v>0</v>
      </c>
      <c r="O53" s="3">
        <f t="shared" si="3"/>
        <v>0</v>
      </c>
      <c r="P53" s="4">
        <v>0.0</v>
      </c>
      <c r="Q53" s="5"/>
      <c r="R53" s="5"/>
    </row>
    <row r="54" ht="31.5" customHeight="1">
      <c r="G54" s="2" t="str">
        <f>IFERROR(__xludf.DUMMYFUNCTION("IFERROR(TEXTJOIN("", "", TRUE, FILTER(SPLIT(F54, "",""), ISERROR(MATCH(TRIM(SPLIT(F54, "","")), Membership!D:D, 0)))), ""NONE"")"),"NONE")</f>
        <v>NONE</v>
      </c>
      <c r="M54" s="3">
        <f t="shared" si="4"/>
        <v>0</v>
      </c>
      <c r="N54" s="3">
        <f t="shared" si="5"/>
        <v>0</v>
      </c>
      <c r="O54" s="3">
        <f t="shared" si="3"/>
        <v>0</v>
      </c>
      <c r="P54" s="4">
        <v>0.0</v>
      </c>
      <c r="Q54" s="5"/>
      <c r="R54" s="5"/>
    </row>
    <row r="55" ht="31.5" customHeight="1">
      <c r="G55" s="2" t="str">
        <f>IFERROR(__xludf.DUMMYFUNCTION("IFERROR(TEXTJOIN("", "", TRUE, FILTER(SPLIT(F55, "",""), ISERROR(MATCH(TRIM(SPLIT(F55, "","")), Membership!D:D, 0)))), ""NONE"")"),"NONE")</f>
        <v>NONE</v>
      </c>
      <c r="M55" s="3">
        <f t="shared" si="4"/>
        <v>0</v>
      </c>
      <c r="N55" s="3">
        <f t="shared" si="5"/>
        <v>0</v>
      </c>
      <c r="O55" s="3">
        <f t="shared" si="3"/>
        <v>0</v>
      </c>
      <c r="P55" s="4">
        <v>0.0</v>
      </c>
      <c r="Q55" s="5"/>
      <c r="R55" s="5"/>
    </row>
    <row r="56" ht="31.5" customHeight="1">
      <c r="G56" s="2" t="str">
        <f>IFERROR(__xludf.DUMMYFUNCTION("IFERROR(TEXTJOIN("", "", TRUE, FILTER(SPLIT(F56, "",""), ISERROR(MATCH(TRIM(SPLIT(F56, "","")), Membership!D:D, 0)))), ""NONE"")"),"NONE")</f>
        <v>NONE</v>
      </c>
      <c r="M56" s="3">
        <f t="shared" si="4"/>
        <v>0</v>
      </c>
      <c r="N56" s="3">
        <f t="shared" si="5"/>
        <v>0</v>
      </c>
      <c r="O56" s="3">
        <f t="shared" si="3"/>
        <v>0</v>
      </c>
      <c r="P56" s="4">
        <v>0.0</v>
      </c>
      <c r="Q56" s="5"/>
      <c r="R56" s="5"/>
    </row>
    <row r="57" ht="31.5" customHeight="1">
      <c r="G57" s="2" t="str">
        <f>IFERROR(__xludf.DUMMYFUNCTION("IFERROR(TEXTJOIN("", "", TRUE, FILTER(SPLIT(F57, "",""), ISERROR(MATCH(TRIM(SPLIT(F57, "","")), Membership!D:D, 0)))), ""NONE"")"),"NONE")</f>
        <v>NONE</v>
      </c>
      <c r="M57" s="3">
        <f t="shared" si="4"/>
        <v>0</v>
      </c>
      <c r="N57" s="3">
        <f t="shared" si="5"/>
        <v>0</v>
      </c>
      <c r="O57" s="3">
        <f t="shared" si="3"/>
        <v>0</v>
      </c>
      <c r="P57" s="4">
        <v>0.0</v>
      </c>
      <c r="Q57" s="5"/>
      <c r="R57" s="5"/>
    </row>
    <row r="58" ht="31.5" customHeight="1">
      <c r="G58" s="2" t="str">
        <f>IFERROR(__xludf.DUMMYFUNCTION("IFERROR(TEXTJOIN("", "", TRUE, FILTER(SPLIT(F58, "",""), ISERROR(MATCH(TRIM(SPLIT(F58, "","")), Membership!D:D, 0)))), ""NONE"")"),"NONE")</f>
        <v>NONE</v>
      </c>
      <c r="M58" s="3">
        <f t="shared" si="4"/>
        <v>0</v>
      </c>
      <c r="N58" s="3">
        <f t="shared" si="5"/>
        <v>0</v>
      </c>
      <c r="O58" s="3">
        <f t="shared" si="3"/>
        <v>0</v>
      </c>
      <c r="P58" s="4">
        <v>0.0</v>
      </c>
      <c r="Q58" s="5"/>
      <c r="R58" s="5"/>
    </row>
    <row r="59" ht="31.5" customHeight="1">
      <c r="G59" s="2" t="str">
        <f>IFERROR(__xludf.DUMMYFUNCTION("IFERROR(TEXTJOIN("", "", TRUE, FILTER(SPLIT(F59, "",""), ISERROR(MATCH(TRIM(SPLIT(F59, "","")), Membership!D:D, 0)))), ""NONE"")"),"NONE")</f>
        <v>NONE</v>
      </c>
      <c r="M59" s="3">
        <f t="shared" si="4"/>
        <v>0</v>
      </c>
      <c r="N59" s="3">
        <f t="shared" si="5"/>
        <v>0</v>
      </c>
      <c r="O59" s="3">
        <f t="shared" si="3"/>
        <v>0</v>
      </c>
      <c r="P59" s="4">
        <v>0.0</v>
      </c>
      <c r="Q59" s="5"/>
      <c r="R59" s="5"/>
    </row>
    <row r="60" ht="31.5" customHeight="1">
      <c r="G60" s="2" t="str">
        <f>IFERROR(__xludf.DUMMYFUNCTION("IFERROR(TEXTJOIN("", "", TRUE, FILTER(SPLIT(F60, "",""), ISERROR(MATCH(TRIM(SPLIT(F60, "","")), Membership!D:D, 0)))), ""NONE"")"),"NONE")</f>
        <v>NONE</v>
      </c>
      <c r="M60" s="3">
        <f t="shared" si="4"/>
        <v>0</v>
      </c>
      <c r="N60" s="3">
        <f t="shared" si="5"/>
        <v>0</v>
      </c>
      <c r="O60" s="3">
        <f t="shared" si="3"/>
        <v>0</v>
      </c>
      <c r="P60" s="4">
        <v>0.0</v>
      </c>
      <c r="Q60" s="5"/>
      <c r="R60" s="5"/>
    </row>
    <row r="61" ht="31.5" customHeight="1">
      <c r="G61" s="2" t="str">
        <f>IFERROR(__xludf.DUMMYFUNCTION("IFERROR(TEXTJOIN("", "", TRUE, FILTER(SPLIT(F61, "",""), ISERROR(MATCH(TRIM(SPLIT(F61, "","")), Membership!D:D, 0)))), ""NONE"")"),"NONE")</f>
        <v>NONE</v>
      </c>
      <c r="M61" s="3">
        <f t="shared" si="4"/>
        <v>0</v>
      </c>
      <c r="N61" s="3">
        <f t="shared" si="5"/>
        <v>0</v>
      </c>
      <c r="O61" s="3">
        <f t="shared" si="3"/>
        <v>0</v>
      </c>
      <c r="P61" s="4">
        <v>0.0</v>
      </c>
      <c r="Q61" s="5"/>
      <c r="R61" s="5"/>
    </row>
    <row r="62" ht="31.5" customHeight="1">
      <c r="G62" s="2" t="str">
        <f>IFERROR(__xludf.DUMMYFUNCTION("IFERROR(TEXTJOIN("", "", TRUE, FILTER(SPLIT(F62, "",""), ISERROR(MATCH(TRIM(SPLIT(F62, "","")), Membership!D:D, 0)))), ""NONE"")"),"NONE")</f>
        <v>NONE</v>
      </c>
      <c r="M62" s="3">
        <f t="shared" si="4"/>
        <v>0</v>
      </c>
      <c r="N62" s="3">
        <f t="shared" si="5"/>
        <v>0</v>
      </c>
      <c r="O62" s="3">
        <f t="shared" si="3"/>
        <v>0</v>
      </c>
      <c r="P62" s="4">
        <v>0.0</v>
      </c>
      <c r="Q62" s="5"/>
      <c r="R62" s="5"/>
    </row>
    <row r="63" ht="31.5" customHeight="1">
      <c r="G63" s="2" t="str">
        <f>IFERROR(__xludf.DUMMYFUNCTION("IFERROR(TEXTJOIN("", "", TRUE, FILTER(SPLIT(F63, "",""), ISERROR(MATCH(TRIM(SPLIT(F63, "","")), Membership!D:D, 0)))), ""NONE"")"),"NONE")</f>
        <v>NONE</v>
      </c>
      <c r="M63" s="3">
        <f t="shared" si="4"/>
        <v>0</v>
      </c>
      <c r="N63" s="3">
        <f t="shared" si="5"/>
        <v>0</v>
      </c>
      <c r="O63" s="3">
        <f t="shared" si="3"/>
        <v>0</v>
      </c>
      <c r="P63" s="4">
        <v>0.0</v>
      </c>
      <c r="Q63" s="5"/>
      <c r="R63" s="5"/>
    </row>
    <row r="64" ht="31.5" customHeight="1">
      <c r="G64" s="2" t="str">
        <f>IFERROR(__xludf.DUMMYFUNCTION("IFERROR(TEXTJOIN("", "", TRUE, FILTER(SPLIT(F64, "",""), ISERROR(MATCH(TRIM(SPLIT(F64, "","")), Membership!D:D, 0)))), ""NONE"")"),"NONE")</f>
        <v>NONE</v>
      </c>
      <c r="M64" s="3">
        <f t="shared" si="4"/>
        <v>0</v>
      </c>
      <c r="N64" s="3">
        <f t="shared" si="5"/>
        <v>0</v>
      </c>
      <c r="O64" s="3">
        <f t="shared" si="3"/>
        <v>0</v>
      </c>
      <c r="P64" s="4">
        <v>0.0</v>
      </c>
      <c r="Q64" s="5"/>
      <c r="R64" s="5"/>
    </row>
    <row r="65" ht="31.5" customHeight="1">
      <c r="G65" s="2" t="str">
        <f>IFERROR(__xludf.DUMMYFUNCTION("IFERROR(TEXTJOIN("", "", TRUE, FILTER(SPLIT(F65, "",""), ISERROR(MATCH(TRIM(SPLIT(F65, "","")), Membership!D:D, 0)))), ""NONE"")"),"NONE")</f>
        <v>NONE</v>
      </c>
      <c r="M65" s="3">
        <f t="shared" si="4"/>
        <v>0</v>
      </c>
      <c r="N65" s="3">
        <f t="shared" si="5"/>
        <v>0</v>
      </c>
      <c r="O65" s="3">
        <f t="shared" si="3"/>
        <v>0</v>
      </c>
      <c r="P65" s="4">
        <v>0.0</v>
      </c>
      <c r="Q65" s="5"/>
      <c r="R65" s="5"/>
    </row>
    <row r="66" ht="31.5" customHeight="1">
      <c r="G66" s="2" t="str">
        <f>IFERROR(__xludf.DUMMYFUNCTION("IFERROR(TEXTJOIN("", "", TRUE, FILTER(SPLIT(F66, "",""), ISERROR(MATCH(TRIM(SPLIT(F66, "","")), Membership!D:D, 0)))), ""NONE"")"),"NONE")</f>
        <v>NONE</v>
      </c>
      <c r="M66" s="3">
        <f t="shared" si="4"/>
        <v>0</v>
      </c>
      <c r="N66" s="3">
        <f t="shared" si="5"/>
        <v>0</v>
      </c>
      <c r="O66" s="3">
        <f t="shared" si="3"/>
        <v>0</v>
      </c>
      <c r="P66" s="4">
        <v>0.0</v>
      </c>
      <c r="Q66" s="5"/>
      <c r="R66" s="5"/>
    </row>
    <row r="67" ht="31.5" customHeight="1">
      <c r="G67" s="2" t="str">
        <f>IFERROR(__xludf.DUMMYFUNCTION("IFERROR(TEXTJOIN("", "", TRUE, FILTER(SPLIT(F67, "",""), ISERROR(MATCH(TRIM(SPLIT(F67, "","")), Membership!D:D, 0)))), ""NONE"")"),"NONE")</f>
        <v>NONE</v>
      </c>
      <c r="M67" s="3">
        <f t="shared" si="4"/>
        <v>0</v>
      </c>
      <c r="N67" s="3">
        <f t="shared" si="5"/>
        <v>0</v>
      </c>
      <c r="O67" s="3">
        <f t="shared" si="3"/>
        <v>0</v>
      </c>
      <c r="P67" s="4">
        <v>0.0</v>
      </c>
      <c r="Q67" s="5"/>
      <c r="R67" s="5"/>
    </row>
    <row r="68" ht="31.5" customHeight="1">
      <c r="G68" s="2" t="str">
        <f>IFERROR(__xludf.DUMMYFUNCTION("IFERROR(TEXTJOIN("", "", TRUE, FILTER(SPLIT(F68, "",""), ISERROR(MATCH(TRIM(SPLIT(F68, "","")), Membership!D:D, 0)))), ""NONE"")"),"NONE")</f>
        <v>NONE</v>
      </c>
      <c r="M68" s="3">
        <f t="shared" si="4"/>
        <v>0</v>
      </c>
      <c r="N68" s="3">
        <f t="shared" si="5"/>
        <v>0</v>
      </c>
      <c r="O68" s="3">
        <f t="shared" si="3"/>
        <v>0</v>
      </c>
      <c r="P68" s="4">
        <v>0.0</v>
      </c>
      <c r="Q68" s="5"/>
      <c r="R68" s="5"/>
    </row>
    <row r="69" ht="31.5" customHeight="1">
      <c r="G69" s="2" t="str">
        <f>IFERROR(__xludf.DUMMYFUNCTION("IFERROR(TEXTJOIN("", "", TRUE, FILTER(SPLIT(F69, "",""), ISERROR(MATCH(TRIM(SPLIT(F69, "","")), Membership!D:D, 0)))), ""NONE"")"),"NONE")</f>
        <v>NONE</v>
      </c>
      <c r="M69" s="3">
        <f t="shared" si="4"/>
        <v>0</v>
      </c>
      <c r="N69" s="3">
        <f t="shared" si="5"/>
        <v>0</v>
      </c>
      <c r="O69" s="3">
        <f t="shared" si="3"/>
        <v>0</v>
      </c>
      <c r="P69" s="4">
        <v>0.0</v>
      </c>
      <c r="Q69" s="5"/>
      <c r="R69" s="5"/>
    </row>
    <row r="70" ht="31.5" customHeight="1">
      <c r="G70" s="2" t="str">
        <f>IFERROR(__xludf.DUMMYFUNCTION("IFERROR(TEXTJOIN("", "", TRUE, FILTER(SPLIT(F70, "",""), ISERROR(MATCH(TRIM(SPLIT(F70, "","")), Membership!D:D, 0)))), ""NONE"")"),"NONE")</f>
        <v>NONE</v>
      </c>
      <c r="M70" s="3">
        <f t="shared" si="4"/>
        <v>0</v>
      </c>
      <c r="N70" s="3">
        <f t="shared" si="5"/>
        <v>0</v>
      </c>
      <c r="O70" s="3">
        <f t="shared" si="3"/>
        <v>0</v>
      </c>
      <c r="P70" s="4">
        <v>0.0</v>
      </c>
      <c r="Q70" s="5"/>
      <c r="R70" s="5"/>
    </row>
    <row r="71" ht="31.5" customHeight="1">
      <c r="G71" s="2" t="str">
        <f>IFERROR(__xludf.DUMMYFUNCTION("IFERROR(TEXTJOIN("", "", TRUE, FILTER(SPLIT(F71, "",""), ISERROR(MATCH(TRIM(SPLIT(F71, "","")), Membership!D:D, 0)))), ""NONE"")"),"NONE")</f>
        <v>NONE</v>
      </c>
      <c r="M71" s="3">
        <f t="shared" si="4"/>
        <v>0</v>
      </c>
      <c r="N71" s="3">
        <f t="shared" si="5"/>
        <v>0</v>
      </c>
      <c r="O71" s="3">
        <f t="shared" si="3"/>
        <v>0</v>
      </c>
      <c r="P71" s="4">
        <v>0.0</v>
      </c>
      <c r="Q71" s="5"/>
      <c r="R71" s="5"/>
    </row>
    <row r="72" ht="31.5" customHeight="1">
      <c r="G72" s="2" t="str">
        <f>IFERROR(__xludf.DUMMYFUNCTION("IFERROR(TEXTJOIN("", "", TRUE, FILTER(SPLIT(F72, "",""), ISERROR(MATCH(TRIM(SPLIT(F72, "","")), Membership!D:D, 0)))), ""NONE"")"),"NONE")</f>
        <v>NONE</v>
      </c>
      <c r="M72" s="3">
        <f t="shared" si="4"/>
        <v>0</v>
      </c>
      <c r="N72" s="3">
        <f t="shared" si="5"/>
        <v>0</v>
      </c>
      <c r="O72" s="3">
        <f t="shared" si="3"/>
        <v>0</v>
      </c>
      <c r="P72" s="4">
        <v>0.0</v>
      </c>
      <c r="Q72" s="5"/>
      <c r="R72" s="5"/>
    </row>
    <row r="73" ht="31.5" customHeight="1">
      <c r="G73" s="2" t="str">
        <f>IFERROR(__xludf.DUMMYFUNCTION("IFERROR(TEXTJOIN("", "", TRUE, FILTER(SPLIT(F73, "",""), ISERROR(MATCH(TRIM(SPLIT(F73, "","")), Membership!D:D, 0)))), ""NONE"")"),"NONE")</f>
        <v>NONE</v>
      </c>
      <c r="M73" s="3">
        <f t="shared" si="4"/>
        <v>0</v>
      </c>
      <c r="N73" s="3">
        <f t="shared" si="5"/>
        <v>0</v>
      </c>
      <c r="O73" s="3">
        <f t="shared" si="3"/>
        <v>0</v>
      </c>
      <c r="P73" s="4">
        <v>0.0</v>
      </c>
      <c r="Q73" s="5"/>
      <c r="R73" s="5"/>
    </row>
    <row r="74" ht="31.5" customHeight="1">
      <c r="G74" s="2" t="str">
        <f>IFERROR(__xludf.DUMMYFUNCTION("IFERROR(TEXTJOIN("", "", TRUE, FILTER(SPLIT(F74, "",""), ISERROR(MATCH(TRIM(SPLIT(F74, "","")), Membership!D:D, 0)))), ""NONE"")"),"NONE")</f>
        <v>NONE</v>
      </c>
      <c r="M74" s="3">
        <f t="shared" si="4"/>
        <v>0</v>
      </c>
      <c r="N74" s="3">
        <f t="shared" si="5"/>
        <v>0</v>
      </c>
      <c r="O74" s="3">
        <f t="shared" si="3"/>
        <v>0</v>
      </c>
      <c r="P74" s="4">
        <v>0.0</v>
      </c>
      <c r="Q74" s="5"/>
      <c r="R74" s="5"/>
    </row>
    <row r="75" ht="31.5" customHeight="1">
      <c r="G75" s="2" t="str">
        <f>IFERROR(__xludf.DUMMYFUNCTION("IFERROR(TEXTJOIN("", "", TRUE, FILTER(SPLIT(F75, "",""), ISERROR(MATCH(TRIM(SPLIT(F75, "","")), Membership!D:D, 0)))), ""NONE"")"),"NONE")</f>
        <v>NONE</v>
      </c>
      <c r="M75" s="3">
        <f t="shared" si="4"/>
        <v>0</v>
      </c>
      <c r="N75" s="3">
        <f t="shared" si="5"/>
        <v>0</v>
      </c>
      <c r="O75" s="3">
        <f t="shared" si="3"/>
        <v>0</v>
      </c>
      <c r="P75" s="4">
        <v>0.0</v>
      </c>
      <c r="Q75" s="5"/>
      <c r="R75" s="5"/>
    </row>
    <row r="76" ht="31.5" customHeight="1">
      <c r="G76" s="2" t="str">
        <f>IFERROR(__xludf.DUMMYFUNCTION("IFERROR(TEXTJOIN("", "", TRUE, FILTER(SPLIT(F76, "",""), ISERROR(MATCH(TRIM(SPLIT(F76, "","")), Membership!D:D, 0)))), ""NONE"")"),"NONE")</f>
        <v>NONE</v>
      </c>
      <c r="M76" s="3">
        <f t="shared" si="4"/>
        <v>0</v>
      </c>
      <c r="N76" s="3">
        <f t="shared" si="5"/>
        <v>0</v>
      </c>
      <c r="O76" s="3">
        <f t="shared" si="3"/>
        <v>0</v>
      </c>
      <c r="P76" s="4">
        <v>0.0</v>
      </c>
      <c r="Q76" s="5"/>
      <c r="R76" s="5"/>
    </row>
    <row r="77" ht="31.5" customHeight="1">
      <c r="G77" s="2" t="str">
        <f>IFERROR(__xludf.DUMMYFUNCTION("IFERROR(TEXTJOIN("", "", TRUE, FILTER(SPLIT(F77, "",""), ISERROR(MATCH(TRIM(SPLIT(F77, "","")), Membership!D:D, 0)))), ""NONE"")"),"NONE")</f>
        <v>NONE</v>
      </c>
      <c r="M77" s="3">
        <f t="shared" si="4"/>
        <v>0</v>
      </c>
      <c r="N77" s="3">
        <f t="shared" si="5"/>
        <v>0</v>
      </c>
      <c r="O77" s="3">
        <f t="shared" si="3"/>
        <v>0</v>
      </c>
      <c r="P77" s="4">
        <v>0.0</v>
      </c>
      <c r="Q77" s="5"/>
      <c r="R77" s="5"/>
    </row>
    <row r="78" ht="31.5" customHeight="1">
      <c r="G78" s="2" t="str">
        <f>IFERROR(__xludf.DUMMYFUNCTION("IFERROR(TEXTJOIN("", "", TRUE, FILTER(SPLIT(F78, "",""), ISERROR(MATCH(TRIM(SPLIT(F78, "","")), Membership!D:D, 0)))), ""NONE"")"),"NONE")</f>
        <v>NONE</v>
      </c>
      <c r="M78" s="3">
        <f t="shared" si="4"/>
        <v>0</v>
      </c>
      <c r="N78" s="3">
        <f t="shared" si="5"/>
        <v>0</v>
      </c>
      <c r="O78" s="3">
        <f t="shared" si="3"/>
        <v>0</v>
      </c>
      <c r="P78" s="4">
        <v>0.0</v>
      </c>
      <c r="Q78" s="5"/>
      <c r="R78" s="5"/>
    </row>
    <row r="79" ht="31.5" customHeight="1">
      <c r="G79" s="2" t="str">
        <f>IFERROR(__xludf.DUMMYFUNCTION("IFERROR(TEXTJOIN("", "", TRUE, FILTER(SPLIT(F79, "",""), ISERROR(MATCH(TRIM(SPLIT(F79, "","")), Membership!D:D, 0)))), ""NONE"")"),"NONE")</f>
        <v>NONE</v>
      </c>
      <c r="M79" s="3">
        <f t="shared" si="4"/>
        <v>0</v>
      </c>
      <c r="N79" s="3">
        <f t="shared" si="5"/>
        <v>0</v>
      </c>
      <c r="O79" s="3">
        <f t="shared" si="3"/>
        <v>0</v>
      </c>
      <c r="P79" s="4">
        <v>0.0</v>
      </c>
      <c r="Q79" s="5"/>
      <c r="R79" s="5"/>
    </row>
    <row r="80" ht="31.5" customHeight="1">
      <c r="G80" s="2" t="str">
        <f>IFERROR(__xludf.DUMMYFUNCTION("IFERROR(TEXTJOIN("", "", TRUE, FILTER(SPLIT(F80, "",""), ISERROR(MATCH(TRIM(SPLIT(F80, "","")), Membership!D:D, 0)))), ""NONE"")"),"NONE")</f>
        <v>NONE</v>
      </c>
      <c r="M80" s="3">
        <f t="shared" si="4"/>
        <v>0</v>
      </c>
      <c r="N80" s="3">
        <f t="shared" si="5"/>
        <v>0</v>
      </c>
      <c r="O80" s="3">
        <f t="shared" si="3"/>
        <v>0</v>
      </c>
      <c r="P80" s="4">
        <v>0.0</v>
      </c>
      <c r="Q80" s="5"/>
      <c r="R80" s="5"/>
    </row>
    <row r="81" ht="31.5" customHeight="1">
      <c r="G81" s="2" t="str">
        <f>IFERROR(__xludf.DUMMYFUNCTION("IFERROR(TEXTJOIN("", "", TRUE, FILTER(SPLIT(F81, "",""), ISERROR(MATCH(TRIM(SPLIT(F81, "","")), Membership!D:D, 0)))), ""NONE"")"),"NONE")</f>
        <v>NONE</v>
      </c>
      <c r="M81" s="3">
        <f t="shared" si="4"/>
        <v>0</v>
      </c>
      <c r="N81" s="3">
        <f t="shared" si="5"/>
        <v>0</v>
      </c>
      <c r="O81" s="3">
        <f t="shared" si="3"/>
        <v>0</v>
      </c>
      <c r="P81" s="4">
        <v>0.0</v>
      </c>
      <c r="Q81" s="5"/>
      <c r="R81" s="5"/>
    </row>
    <row r="82" ht="31.5" customHeight="1">
      <c r="G82" s="2" t="str">
        <f>IFERROR(__xludf.DUMMYFUNCTION("IFERROR(TEXTJOIN("", "", TRUE, FILTER(SPLIT(F82, "",""), ISERROR(MATCH(TRIM(SPLIT(F82, "","")), Membership!D:D, 0)))), ""NONE"")"),"NONE")</f>
        <v>NONE</v>
      </c>
      <c r="M82" s="3">
        <f t="shared" si="4"/>
        <v>0</v>
      </c>
      <c r="N82" s="3">
        <f t="shared" si="5"/>
        <v>0</v>
      </c>
      <c r="O82" s="3">
        <f t="shared" si="3"/>
        <v>0</v>
      </c>
      <c r="P82" s="4">
        <v>0.0</v>
      </c>
      <c r="Q82" s="5"/>
      <c r="R82" s="5"/>
    </row>
    <row r="83" ht="31.5" customHeight="1">
      <c r="G83" s="2" t="str">
        <f>IFERROR(__xludf.DUMMYFUNCTION("IFERROR(TEXTJOIN("", "", TRUE, FILTER(SPLIT(F83, "",""), ISERROR(MATCH(TRIM(SPLIT(F83, "","")), Membership!D:D, 0)))), ""NONE"")"),"NONE")</f>
        <v>NONE</v>
      </c>
      <c r="M83" s="3">
        <f t="shared" si="4"/>
        <v>0</v>
      </c>
      <c r="N83" s="3">
        <f t="shared" si="5"/>
        <v>0</v>
      </c>
      <c r="O83" s="3">
        <f t="shared" si="3"/>
        <v>0</v>
      </c>
      <c r="P83" s="4">
        <v>0.0</v>
      </c>
      <c r="Q83" s="5"/>
      <c r="R83" s="5"/>
    </row>
    <row r="84" ht="31.5" customHeight="1">
      <c r="G84" s="2" t="str">
        <f>IFERROR(__xludf.DUMMYFUNCTION("IFERROR(TEXTJOIN("", "", TRUE, FILTER(SPLIT(F84, "",""), ISERROR(MATCH(TRIM(SPLIT(F84, "","")), Membership!D:D, 0)))), ""NONE"")"),"NONE")</f>
        <v>NONE</v>
      </c>
      <c r="M84" s="3">
        <f t="shared" si="4"/>
        <v>0</v>
      </c>
      <c r="N84" s="3">
        <f t="shared" si="5"/>
        <v>0</v>
      </c>
      <c r="O84" s="3">
        <f t="shared" si="3"/>
        <v>0</v>
      </c>
      <c r="P84" s="4">
        <v>0.0</v>
      </c>
      <c r="Q84" s="5"/>
      <c r="R84" s="5"/>
    </row>
    <row r="85" ht="31.5" customHeight="1">
      <c r="G85" s="2" t="str">
        <f>IFERROR(__xludf.DUMMYFUNCTION("IFERROR(TEXTJOIN("", "", TRUE, FILTER(SPLIT(F85, "",""), ISERROR(MATCH(TRIM(SPLIT(F85, "","")), Membership!D:D, 0)))), ""NONE"")"),"NONE")</f>
        <v>NONE</v>
      </c>
      <c r="M85" s="3">
        <f t="shared" si="4"/>
        <v>0</v>
      </c>
      <c r="N85" s="3">
        <f t="shared" si="5"/>
        <v>0</v>
      </c>
      <c r="O85" s="3">
        <f t="shared" si="3"/>
        <v>0</v>
      </c>
      <c r="P85" s="4">
        <v>0.0</v>
      </c>
      <c r="Q85" s="5"/>
      <c r="R85" s="5"/>
    </row>
    <row r="86" ht="31.5" customHeight="1">
      <c r="G86" s="2" t="str">
        <f>IFERROR(__xludf.DUMMYFUNCTION("IFERROR(TEXTJOIN("", "", TRUE, FILTER(SPLIT(F86, "",""), ISERROR(MATCH(TRIM(SPLIT(F86, "","")), Membership!D:D, 0)))), ""NONE"")"),"NONE")</f>
        <v>NONE</v>
      </c>
      <c r="M86" s="3">
        <f t="shared" si="4"/>
        <v>0</v>
      </c>
      <c r="N86" s="3">
        <f t="shared" si="5"/>
        <v>0</v>
      </c>
      <c r="O86" s="3">
        <f t="shared" si="3"/>
        <v>0</v>
      </c>
      <c r="P86" s="4">
        <v>0.0</v>
      </c>
      <c r="Q86" s="5"/>
      <c r="R86" s="5"/>
    </row>
    <row r="87" ht="31.5" customHeight="1">
      <c r="G87" s="2" t="str">
        <f>IFERROR(__xludf.DUMMYFUNCTION("IFERROR(TEXTJOIN("", "", TRUE, FILTER(SPLIT(F87, "",""), ISERROR(MATCH(TRIM(SPLIT(F87, "","")), Membership!D:D, 0)))), ""NONE"")"),"NONE")</f>
        <v>NONE</v>
      </c>
      <c r="M87" s="3">
        <f t="shared" si="4"/>
        <v>0</v>
      </c>
      <c r="N87" s="3">
        <f t="shared" si="5"/>
        <v>0</v>
      </c>
      <c r="O87" s="3">
        <f t="shared" si="3"/>
        <v>0</v>
      </c>
      <c r="P87" s="4">
        <v>0.0</v>
      </c>
      <c r="Q87" s="5"/>
      <c r="R87" s="5"/>
    </row>
    <row r="88" ht="31.5" customHeight="1">
      <c r="G88" s="2" t="str">
        <f>IFERROR(__xludf.DUMMYFUNCTION("IFERROR(TEXTJOIN("", "", TRUE, FILTER(SPLIT(F88, "",""), ISERROR(MATCH(TRIM(SPLIT(F88, "","")), Membership!D:D, 0)))), ""NONE"")"),"NONE")</f>
        <v>NONE</v>
      </c>
      <c r="M88" s="3">
        <f t="shared" si="4"/>
        <v>0</v>
      </c>
      <c r="N88" s="3">
        <f t="shared" si="5"/>
        <v>0</v>
      </c>
      <c r="O88" s="3">
        <f t="shared" si="3"/>
        <v>0</v>
      </c>
      <c r="P88" s="4">
        <v>0.0</v>
      </c>
      <c r="Q88" s="5"/>
      <c r="R88" s="5"/>
    </row>
    <row r="89" ht="31.5" customHeight="1">
      <c r="G89" s="2" t="str">
        <f>IFERROR(__xludf.DUMMYFUNCTION("IFERROR(TEXTJOIN("", "", TRUE, FILTER(SPLIT(F89, "",""), ISERROR(MATCH(TRIM(SPLIT(F89, "","")), Membership!D:D, 0)))), ""NONE"")"),"NONE")</f>
        <v>NONE</v>
      </c>
      <c r="M89" s="3">
        <f t="shared" si="4"/>
        <v>0</v>
      </c>
      <c r="N89" s="3">
        <f t="shared" si="5"/>
        <v>0</v>
      </c>
      <c r="O89" s="3">
        <f t="shared" si="3"/>
        <v>0</v>
      </c>
      <c r="P89" s="4">
        <v>0.0</v>
      </c>
      <c r="Q89" s="5"/>
      <c r="R89" s="5"/>
    </row>
    <row r="90" ht="31.5" customHeight="1">
      <c r="G90" s="2" t="str">
        <f>IFERROR(__xludf.DUMMYFUNCTION("IFERROR(TEXTJOIN("", "", TRUE, FILTER(SPLIT(F90, "",""), ISERROR(MATCH(TRIM(SPLIT(F90, "","")), Membership!D:D, 0)))), ""NONE"")"),"NONE")</f>
        <v>NONE</v>
      </c>
      <c r="M90" s="3">
        <f t="shared" si="4"/>
        <v>0</v>
      </c>
      <c r="N90" s="3">
        <f t="shared" si="5"/>
        <v>0</v>
      </c>
      <c r="O90" s="3">
        <f t="shared" si="3"/>
        <v>0</v>
      </c>
      <c r="P90" s="4">
        <v>0.0</v>
      </c>
      <c r="Q90" s="5"/>
      <c r="R90" s="5"/>
    </row>
    <row r="91" ht="31.5" customHeight="1">
      <c r="G91" s="2" t="str">
        <f>IFERROR(__xludf.DUMMYFUNCTION("IFERROR(TEXTJOIN("", "", TRUE, FILTER(SPLIT(F91, "",""), ISERROR(MATCH(TRIM(SPLIT(F91, "","")), Membership!D:D, 0)))), ""NONE"")"),"NONE")</f>
        <v>NONE</v>
      </c>
      <c r="M91" s="3">
        <f t="shared" si="4"/>
        <v>0</v>
      </c>
      <c r="N91" s="3">
        <f t="shared" si="5"/>
        <v>0</v>
      </c>
      <c r="O91" s="3">
        <f t="shared" si="3"/>
        <v>0</v>
      </c>
      <c r="P91" s="4">
        <v>0.0</v>
      </c>
      <c r="Q91" s="5"/>
      <c r="R91" s="5"/>
    </row>
    <row r="92" ht="31.5" customHeight="1">
      <c r="G92" s="2" t="str">
        <f>IFERROR(__xludf.DUMMYFUNCTION("IFERROR(TEXTJOIN("", "", TRUE, FILTER(SPLIT(F92, "",""), ISERROR(MATCH(TRIM(SPLIT(F92, "","")), Membership!D:D, 0)))), ""NONE"")"),"NONE")</f>
        <v>NONE</v>
      </c>
      <c r="M92" s="3">
        <f t="shared" si="4"/>
        <v>0</v>
      </c>
      <c r="N92" s="3">
        <f t="shared" si="5"/>
        <v>0</v>
      </c>
      <c r="O92" s="3">
        <f t="shared" si="3"/>
        <v>0</v>
      </c>
      <c r="P92" s="4">
        <v>0.0</v>
      </c>
      <c r="Q92" s="5"/>
      <c r="R92" s="5"/>
    </row>
    <row r="93" ht="31.5" customHeight="1">
      <c r="G93" s="2" t="str">
        <f>IFERROR(__xludf.DUMMYFUNCTION("IFERROR(TEXTJOIN("", "", TRUE, FILTER(SPLIT(F93, "",""), ISERROR(MATCH(TRIM(SPLIT(F93, "","")), Membership!D:D, 0)))), ""NONE"")"),"NONE")</f>
        <v>NONE</v>
      </c>
      <c r="M93" s="3">
        <f t="shared" si="4"/>
        <v>0</v>
      </c>
      <c r="N93" s="3">
        <f t="shared" si="5"/>
        <v>0</v>
      </c>
      <c r="O93" s="3">
        <f t="shared" si="3"/>
        <v>0</v>
      </c>
      <c r="P93" s="4">
        <v>0.0</v>
      </c>
      <c r="Q93" s="5"/>
      <c r="R93" s="5"/>
    </row>
    <row r="94" ht="31.5" customHeight="1">
      <c r="G94" s="2" t="str">
        <f>IFERROR(__xludf.DUMMYFUNCTION("IFERROR(TEXTJOIN("", "", TRUE, FILTER(SPLIT(F94, "",""), ISERROR(MATCH(TRIM(SPLIT(F94, "","")), Membership!D:D, 0)))), ""NONE"")"),"NONE")</f>
        <v>NONE</v>
      </c>
      <c r="M94" s="3">
        <f t="shared" si="4"/>
        <v>0</v>
      </c>
      <c r="N94" s="3">
        <f t="shared" si="5"/>
        <v>0</v>
      </c>
      <c r="O94" s="3">
        <f t="shared" si="3"/>
        <v>0</v>
      </c>
      <c r="P94" s="4">
        <v>0.0</v>
      </c>
      <c r="Q94" s="5"/>
      <c r="R94" s="5"/>
    </row>
    <row r="95" ht="31.5" customHeight="1">
      <c r="G95" s="2" t="str">
        <f>IFERROR(__xludf.DUMMYFUNCTION("IFERROR(TEXTJOIN("", "", TRUE, FILTER(SPLIT(F95, "",""), ISERROR(MATCH(TRIM(SPLIT(F95, "","")), Membership!D:D, 0)))), ""NONE"")"),"NONE")</f>
        <v>NONE</v>
      </c>
      <c r="M95" s="3">
        <f t="shared" si="4"/>
        <v>0</v>
      </c>
      <c r="N95" s="3">
        <f t="shared" si="5"/>
        <v>0</v>
      </c>
      <c r="O95" s="3">
        <f t="shared" si="3"/>
        <v>0</v>
      </c>
      <c r="P95" s="4">
        <v>0.0</v>
      </c>
      <c r="Q95" s="5"/>
      <c r="R95" s="5"/>
    </row>
    <row r="96" ht="31.5" customHeight="1">
      <c r="G96" s="2" t="str">
        <f>IFERROR(__xludf.DUMMYFUNCTION("IFERROR(TEXTJOIN("", "", TRUE, FILTER(SPLIT(F96, "",""), ISERROR(MATCH(TRIM(SPLIT(F96, "","")), Membership!D:D, 0)))), ""NONE"")"),"NONE")</f>
        <v>NONE</v>
      </c>
      <c r="M96" s="3">
        <f t="shared" si="4"/>
        <v>0</v>
      </c>
      <c r="N96" s="3">
        <f t="shared" si="5"/>
        <v>0</v>
      </c>
      <c r="O96" s="3">
        <f t="shared" si="3"/>
        <v>0</v>
      </c>
      <c r="P96" s="4">
        <v>0.0</v>
      </c>
      <c r="Q96" s="5"/>
      <c r="R96" s="5"/>
    </row>
    <row r="97" ht="31.5" customHeight="1">
      <c r="G97" s="2" t="str">
        <f>IFERROR(__xludf.DUMMYFUNCTION("IFERROR(TEXTJOIN("", "", TRUE, FILTER(SPLIT(F97, "",""), ISERROR(MATCH(TRIM(SPLIT(F97, "","")), Membership!D:D, 0)))), ""NONE"")"),"NONE")</f>
        <v>NONE</v>
      </c>
      <c r="M97" s="3">
        <f t="shared" si="4"/>
        <v>0</v>
      </c>
      <c r="N97" s="3">
        <f t="shared" si="5"/>
        <v>0</v>
      </c>
      <c r="O97" s="3">
        <f t="shared" si="3"/>
        <v>0</v>
      </c>
      <c r="P97" s="4">
        <v>0.0</v>
      </c>
      <c r="Q97" s="5"/>
      <c r="R97" s="5"/>
    </row>
    <row r="98" ht="31.5" customHeight="1">
      <c r="G98" s="2" t="str">
        <f>IFERROR(__xludf.DUMMYFUNCTION("IFERROR(TEXTJOIN("", "", TRUE, FILTER(SPLIT(F98, "",""), ISERROR(MATCH(TRIM(SPLIT(F98, "","")), Membership!D:D, 0)))), ""NONE"")"),"NONE")</f>
        <v>NONE</v>
      </c>
      <c r="M98" s="3">
        <f t="shared" si="4"/>
        <v>0</v>
      </c>
      <c r="N98" s="3">
        <f t="shared" si="5"/>
        <v>0</v>
      </c>
      <c r="O98" s="3">
        <f t="shared" si="3"/>
        <v>0</v>
      </c>
      <c r="P98" s="4">
        <v>0.0</v>
      </c>
      <c r="Q98" s="5"/>
      <c r="R98" s="5"/>
    </row>
    <row r="99" ht="31.5" customHeight="1">
      <c r="G99" s="2" t="str">
        <f>IFERROR(__xludf.DUMMYFUNCTION("IFERROR(TEXTJOIN("", "", TRUE, FILTER(SPLIT(F99, "",""), ISERROR(MATCH(TRIM(SPLIT(F99, "","")), Membership!D:D, 0)))), ""NONE"")"),"NONE")</f>
        <v>NONE</v>
      </c>
      <c r="M99" s="3">
        <f t="shared" si="4"/>
        <v>0</v>
      </c>
      <c r="N99" s="3">
        <f t="shared" si="5"/>
        <v>0</v>
      </c>
      <c r="O99" s="3">
        <f t="shared" si="3"/>
        <v>0</v>
      </c>
      <c r="P99" s="4">
        <v>0.0</v>
      </c>
      <c r="Q99" s="5"/>
      <c r="R99" s="5"/>
    </row>
    <row r="100" ht="31.5" customHeight="1">
      <c r="G100" s="2" t="str">
        <f>IFERROR(__xludf.DUMMYFUNCTION("IFERROR(TEXTJOIN("", "", TRUE, FILTER(SPLIT(F100, "",""), ISERROR(MATCH(TRIM(SPLIT(F100, "","")), Membership!D:D, 0)))), ""NONE"")"),"NONE")</f>
        <v>NONE</v>
      </c>
      <c r="M100" s="3">
        <f t="shared" si="4"/>
        <v>0</v>
      </c>
      <c r="N100" s="3">
        <f t="shared" si="5"/>
        <v>0</v>
      </c>
      <c r="O100" s="3">
        <f t="shared" si="3"/>
        <v>0</v>
      </c>
      <c r="P100" s="4">
        <v>0.0</v>
      </c>
      <c r="Q100" s="5"/>
      <c r="R100" s="5"/>
    </row>
    <row r="101" ht="31.5" customHeight="1">
      <c r="G101" s="3"/>
      <c r="M101" s="3">
        <f t="shared" si="4"/>
        <v>0</v>
      </c>
      <c r="N101" s="3">
        <f t="shared" si="5"/>
        <v>0</v>
      </c>
      <c r="O101" s="3">
        <f t="shared" si="3"/>
        <v>0</v>
      </c>
      <c r="P101" s="4">
        <v>0.0</v>
      </c>
      <c r="Q101" s="5"/>
      <c r="R101" s="5"/>
    </row>
    <row r="102" ht="31.5" customHeight="1">
      <c r="G102" s="3"/>
      <c r="M102" s="3">
        <f t="shared" si="4"/>
        <v>0</v>
      </c>
      <c r="N102" s="3">
        <f t="shared" si="5"/>
        <v>0</v>
      </c>
      <c r="O102" s="3">
        <f t="shared" si="3"/>
        <v>0</v>
      </c>
      <c r="P102" s="4">
        <v>0.0</v>
      </c>
      <c r="Q102" s="5"/>
      <c r="R102" s="5"/>
    </row>
    <row r="103" ht="31.5" customHeight="1">
      <c r="G103" s="3"/>
      <c r="M103" s="3">
        <f t="shared" si="4"/>
        <v>0</v>
      </c>
      <c r="N103" s="3">
        <f t="shared" si="5"/>
        <v>0</v>
      </c>
      <c r="O103" s="3">
        <f t="shared" si="3"/>
        <v>0</v>
      </c>
      <c r="P103" s="4">
        <v>0.0</v>
      </c>
      <c r="Q103" s="5"/>
      <c r="R103" s="5"/>
    </row>
    <row r="104" ht="31.5" customHeight="1">
      <c r="G104" s="3"/>
      <c r="M104" s="3">
        <f t="shared" si="4"/>
        <v>0</v>
      </c>
      <c r="N104" s="3">
        <f t="shared" si="5"/>
        <v>0</v>
      </c>
      <c r="O104" s="3">
        <f t="shared" si="3"/>
        <v>0</v>
      </c>
      <c r="P104" s="4">
        <v>0.0</v>
      </c>
      <c r="Q104" s="5"/>
      <c r="R104" s="5"/>
    </row>
    <row r="105" ht="31.5" customHeight="1">
      <c r="G105" s="3"/>
      <c r="M105" s="3">
        <f t="shared" si="4"/>
        <v>0</v>
      </c>
      <c r="N105" s="3">
        <f t="shared" si="5"/>
        <v>0</v>
      </c>
      <c r="O105" s="3">
        <f t="shared" si="3"/>
        <v>0</v>
      </c>
      <c r="P105" s="4">
        <v>0.0</v>
      </c>
      <c r="Q105" s="5"/>
      <c r="R105" s="5"/>
    </row>
    <row r="106" ht="31.5" customHeight="1">
      <c r="G106" s="3"/>
      <c r="M106" s="3">
        <f t="shared" si="4"/>
        <v>0</v>
      </c>
      <c r="N106" s="3">
        <f t="shared" si="5"/>
        <v>0</v>
      </c>
      <c r="O106" s="3">
        <f t="shared" si="3"/>
        <v>0</v>
      </c>
      <c r="P106" s="4">
        <v>0.0</v>
      </c>
      <c r="Q106" s="5"/>
      <c r="R106" s="5"/>
    </row>
    <row r="107" ht="31.5" customHeight="1">
      <c r="G107" s="3"/>
      <c r="M107" s="3">
        <f t="shared" si="4"/>
        <v>0</v>
      </c>
      <c r="N107" s="3">
        <f t="shared" si="5"/>
        <v>0</v>
      </c>
      <c r="O107" s="3">
        <f t="shared" si="3"/>
        <v>0</v>
      </c>
      <c r="P107" s="4">
        <v>0.0</v>
      </c>
      <c r="Q107" s="5"/>
      <c r="R107" s="5"/>
    </row>
    <row r="108" ht="31.5" customHeight="1">
      <c r="G108" s="3"/>
      <c r="M108" s="3">
        <f t="shared" si="4"/>
        <v>0</v>
      </c>
      <c r="N108" s="3">
        <f t="shared" si="5"/>
        <v>0</v>
      </c>
      <c r="O108" s="3">
        <f t="shared" si="3"/>
        <v>0</v>
      </c>
      <c r="P108" s="4">
        <v>0.0</v>
      </c>
      <c r="Q108" s="5"/>
      <c r="R108" s="5"/>
    </row>
    <row r="109" ht="31.5" customHeight="1">
      <c r="G109" s="3"/>
      <c r="M109" s="3">
        <f t="shared" si="4"/>
        <v>0</v>
      </c>
      <c r="N109" s="3">
        <f t="shared" si="5"/>
        <v>0</v>
      </c>
      <c r="O109" s="3">
        <f t="shared" si="3"/>
        <v>0</v>
      </c>
      <c r="P109" s="4">
        <v>0.0</v>
      </c>
      <c r="Q109" s="5"/>
      <c r="R109" s="5"/>
    </row>
    <row r="110" ht="31.5" customHeight="1">
      <c r="G110" s="3"/>
      <c r="M110" s="3">
        <f t="shared" si="4"/>
        <v>0</v>
      </c>
      <c r="N110" s="3">
        <f t="shared" si="5"/>
        <v>0</v>
      </c>
      <c r="O110" s="3">
        <f t="shared" si="3"/>
        <v>0</v>
      </c>
      <c r="P110" s="4">
        <v>0.0</v>
      </c>
      <c r="Q110" s="5"/>
      <c r="R110" s="5"/>
    </row>
    <row r="111" ht="31.5" customHeight="1">
      <c r="G111" s="3"/>
      <c r="M111" s="3">
        <f t="shared" si="4"/>
        <v>0</v>
      </c>
      <c r="N111" s="3">
        <f t="shared" si="5"/>
        <v>0</v>
      </c>
      <c r="O111" s="3">
        <f t="shared" si="3"/>
        <v>0</v>
      </c>
      <c r="P111" s="4">
        <v>0.0</v>
      </c>
      <c r="Q111" s="5"/>
      <c r="R111" s="5"/>
    </row>
    <row r="112" ht="31.5" customHeight="1">
      <c r="G112" s="3"/>
      <c r="M112" s="3">
        <f t="shared" si="4"/>
        <v>0</v>
      </c>
      <c r="N112" s="3">
        <f t="shared" si="5"/>
        <v>0</v>
      </c>
      <c r="O112" s="3">
        <f t="shared" si="3"/>
        <v>0</v>
      </c>
      <c r="P112" s="4">
        <v>0.0</v>
      </c>
      <c r="Q112" s="5"/>
      <c r="R112" s="5"/>
    </row>
    <row r="113" ht="31.5" customHeight="1">
      <c r="G113" s="3"/>
      <c r="M113" s="3">
        <f t="shared" si="4"/>
        <v>0</v>
      </c>
      <c r="N113" s="3">
        <f t="shared" si="5"/>
        <v>0</v>
      </c>
      <c r="O113" s="3">
        <f t="shared" si="3"/>
        <v>0</v>
      </c>
      <c r="P113" s="4">
        <v>0.0</v>
      </c>
      <c r="Q113" s="5"/>
      <c r="R113" s="5"/>
    </row>
    <row r="114" ht="31.5" customHeight="1">
      <c r="G114" s="3"/>
      <c r="M114" s="3">
        <f t="shared" si="4"/>
        <v>0</v>
      </c>
      <c r="N114" s="3">
        <f t="shared" si="5"/>
        <v>0</v>
      </c>
      <c r="O114" s="3">
        <f t="shared" si="3"/>
        <v>0</v>
      </c>
      <c r="P114" s="4">
        <v>0.0</v>
      </c>
      <c r="Q114" s="5"/>
      <c r="R114" s="5"/>
    </row>
    <row r="115" ht="31.5" customHeight="1">
      <c r="G115" s="3"/>
      <c r="M115" s="3">
        <f t="shared" si="4"/>
        <v>0</v>
      </c>
      <c r="N115" s="3">
        <f t="shared" si="5"/>
        <v>0</v>
      </c>
      <c r="O115" s="3">
        <f t="shared" si="3"/>
        <v>0</v>
      </c>
      <c r="P115" s="4">
        <v>0.0</v>
      </c>
      <c r="Q115" s="5"/>
      <c r="R115" s="5"/>
    </row>
    <row r="116" ht="31.5" customHeight="1">
      <c r="G116" s="3"/>
      <c r="M116" s="3">
        <f t="shared" si="4"/>
        <v>0</v>
      </c>
      <c r="N116" s="3">
        <f t="shared" si="5"/>
        <v>0</v>
      </c>
      <c r="O116" s="3">
        <f t="shared" si="3"/>
        <v>0</v>
      </c>
      <c r="P116" s="4">
        <v>0.0</v>
      </c>
      <c r="Q116" s="5"/>
      <c r="R116" s="5"/>
    </row>
    <row r="117" ht="31.5" customHeight="1">
      <c r="G117" s="3"/>
      <c r="M117" s="3">
        <f t="shared" si="4"/>
        <v>0</v>
      </c>
      <c r="N117" s="3">
        <f t="shared" si="5"/>
        <v>0</v>
      </c>
      <c r="O117" s="3">
        <f t="shared" si="3"/>
        <v>0</v>
      </c>
      <c r="P117" s="4">
        <v>0.0</v>
      </c>
      <c r="Q117" s="5"/>
      <c r="R117" s="5"/>
    </row>
    <row r="118" ht="31.5" customHeight="1">
      <c r="G118" s="3"/>
      <c r="M118" s="3">
        <f t="shared" si="4"/>
        <v>0</v>
      </c>
      <c r="N118" s="3">
        <f t="shared" si="5"/>
        <v>0</v>
      </c>
      <c r="O118" s="3">
        <f t="shared" si="3"/>
        <v>0</v>
      </c>
      <c r="P118" s="4">
        <v>0.0</v>
      </c>
      <c r="Q118" s="5"/>
      <c r="R118" s="5"/>
    </row>
    <row r="119" ht="31.5" customHeight="1">
      <c r="G119" s="3"/>
      <c r="M119" s="3">
        <f t="shared" si="4"/>
        <v>0</v>
      </c>
      <c r="N119" s="3">
        <f t="shared" si="5"/>
        <v>0</v>
      </c>
      <c r="O119" s="3">
        <f t="shared" si="3"/>
        <v>0</v>
      </c>
      <c r="P119" s="4">
        <v>0.0</v>
      </c>
      <c r="Q119" s="5"/>
      <c r="R119" s="5"/>
    </row>
    <row r="120" ht="31.5" customHeight="1">
      <c r="G120" s="3"/>
      <c r="M120" s="3">
        <f t="shared" si="4"/>
        <v>0</v>
      </c>
      <c r="N120" s="3">
        <f t="shared" si="5"/>
        <v>0</v>
      </c>
      <c r="O120" s="3">
        <f t="shared" si="3"/>
        <v>0</v>
      </c>
      <c r="P120" s="4">
        <v>0.0</v>
      </c>
      <c r="Q120" s="5"/>
      <c r="R120" s="5"/>
    </row>
    <row r="121" ht="31.5" customHeight="1">
      <c r="G121" s="3"/>
      <c r="M121" s="3">
        <f t="shared" si="4"/>
        <v>0</v>
      </c>
      <c r="N121" s="3">
        <f t="shared" si="5"/>
        <v>0</v>
      </c>
      <c r="O121" s="3">
        <f t="shared" si="3"/>
        <v>0</v>
      </c>
      <c r="P121" s="4">
        <v>0.0</v>
      </c>
      <c r="Q121" s="5"/>
      <c r="R121" s="5"/>
    </row>
    <row r="122" ht="31.5" customHeight="1">
      <c r="G122" s="3"/>
      <c r="M122" s="3">
        <f t="shared" si="4"/>
        <v>0</v>
      </c>
      <c r="N122" s="3">
        <f t="shared" si="5"/>
        <v>0</v>
      </c>
      <c r="O122" s="3">
        <f t="shared" si="3"/>
        <v>0</v>
      </c>
      <c r="P122" s="4">
        <v>0.0</v>
      </c>
      <c r="Q122" s="5"/>
      <c r="R122" s="5"/>
    </row>
    <row r="123" ht="31.5" customHeight="1">
      <c r="G123" s="3"/>
      <c r="M123" s="3">
        <f t="shared" si="4"/>
        <v>0</v>
      </c>
      <c r="N123" s="3">
        <f t="shared" si="5"/>
        <v>0</v>
      </c>
      <c r="O123" s="3">
        <f t="shared" si="3"/>
        <v>0</v>
      </c>
      <c r="P123" s="4">
        <v>0.0</v>
      </c>
      <c r="Q123" s="5"/>
      <c r="R123" s="5"/>
    </row>
    <row r="124" ht="31.5" customHeight="1">
      <c r="G124" s="3"/>
      <c r="M124" s="3">
        <f t="shared" si="4"/>
        <v>0</v>
      </c>
      <c r="N124" s="3">
        <f t="shared" si="5"/>
        <v>0</v>
      </c>
      <c r="O124" s="3">
        <f t="shared" si="3"/>
        <v>0</v>
      </c>
      <c r="P124" s="4">
        <v>0.0</v>
      </c>
      <c r="Q124" s="5"/>
      <c r="R124" s="5"/>
    </row>
    <row r="125" ht="31.5" customHeight="1">
      <c r="G125" s="3"/>
      <c r="M125" s="3">
        <f t="shared" si="4"/>
        <v>0</v>
      </c>
      <c r="N125" s="3">
        <f t="shared" si="5"/>
        <v>0</v>
      </c>
      <c r="O125" s="3">
        <f t="shared" si="3"/>
        <v>0</v>
      </c>
      <c r="P125" s="4">
        <v>0.0</v>
      </c>
      <c r="Q125" s="5"/>
      <c r="R125" s="5"/>
    </row>
    <row r="126" ht="31.5" customHeight="1">
      <c r="G126" s="3"/>
      <c r="M126" s="3">
        <f t="shared" si="4"/>
        <v>0</v>
      </c>
      <c r="N126" s="3">
        <f t="shared" si="5"/>
        <v>0</v>
      </c>
      <c r="O126" s="3">
        <f t="shared" si="3"/>
        <v>0</v>
      </c>
      <c r="P126" s="4">
        <v>0.0</v>
      </c>
      <c r="Q126" s="5"/>
      <c r="R126" s="5"/>
    </row>
    <row r="127" ht="31.5" customHeight="1">
      <c r="G127" s="3"/>
      <c r="M127" s="3">
        <f t="shared" si="4"/>
        <v>0</v>
      </c>
      <c r="N127" s="3">
        <f t="shared" si="5"/>
        <v>0</v>
      </c>
      <c r="O127" s="3">
        <f t="shared" si="3"/>
        <v>0</v>
      </c>
      <c r="P127" s="4">
        <v>0.0</v>
      </c>
      <c r="Q127" s="5"/>
      <c r="R127" s="5"/>
    </row>
    <row r="128" ht="31.5" customHeight="1">
      <c r="G128" s="3"/>
      <c r="M128" s="3">
        <f t="shared" si="4"/>
        <v>0</v>
      </c>
      <c r="N128" s="3">
        <f t="shared" si="5"/>
        <v>0</v>
      </c>
      <c r="O128" s="3">
        <f t="shared" si="3"/>
        <v>0</v>
      </c>
      <c r="P128" s="4">
        <v>0.0</v>
      </c>
      <c r="Q128" s="5"/>
      <c r="R128" s="5"/>
    </row>
    <row r="129" ht="31.5" customHeight="1">
      <c r="G129" s="3"/>
      <c r="M129" s="3">
        <f t="shared" si="4"/>
        <v>0</v>
      </c>
      <c r="N129" s="3">
        <f t="shared" si="5"/>
        <v>0</v>
      </c>
      <c r="O129" s="3">
        <f t="shared" si="3"/>
        <v>0</v>
      </c>
      <c r="P129" s="4">
        <v>0.0</v>
      </c>
      <c r="Q129" s="5"/>
      <c r="R129" s="5"/>
    </row>
    <row r="130" ht="31.5" customHeight="1">
      <c r="G130" s="3"/>
      <c r="M130" s="3">
        <f t="shared" si="4"/>
        <v>0</v>
      </c>
      <c r="N130" s="3">
        <f t="shared" si="5"/>
        <v>0</v>
      </c>
      <c r="O130" s="3">
        <f t="shared" si="3"/>
        <v>0</v>
      </c>
      <c r="P130" s="4">
        <v>0.0</v>
      </c>
      <c r="Q130" s="5"/>
      <c r="R130" s="5"/>
    </row>
    <row r="131" ht="31.5" customHeight="1">
      <c r="G131" s="3"/>
      <c r="M131" s="3">
        <f t="shared" si="4"/>
        <v>0</v>
      </c>
      <c r="N131" s="3">
        <f t="shared" si="5"/>
        <v>0</v>
      </c>
      <c r="O131" s="3">
        <f t="shared" si="3"/>
        <v>0</v>
      </c>
      <c r="P131" s="4">
        <v>0.0</v>
      </c>
      <c r="Q131" s="5"/>
      <c r="R131" s="5"/>
    </row>
    <row r="132" ht="31.5" customHeight="1">
      <c r="G132" s="3"/>
      <c r="M132" s="3">
        <f t="shared" si="4"/>
        <v>0</v>
      </c>
      <c r="N132" s="3">
        <f t="shared" si="5"/>
        <v>0</v>
      </c>
      <c r="O132" s="3">
        <f t="shared" si="3"/>
        <v>0</v>
      </c>
      <c r="P132" s="4">
        <v>0.0</v>
      </c>
      <c r="Q132" s="5"/>
      <c r="R132" s="5"/>
    </row>
    <row r="133" ht="31.5" customHeight="1">
      <c r="G133" s="3"/>
      <c r="M133" s="3">
        <f t="shared" si="4"/>
        <v>0</v>
      </c>
      <c r="N133" s="3">
        <f t="shared" si="5"/>
        <v>0</v>
      </c>
      <c r="O133" s="3">
        <f t="shared" si="3"/>
        <v>0</v>
      </c>
      <c r="P133" s="4">
        <v>0.0</v>
      </c>
      <c r="Q133" s="5"/>
      <c r="R133" s="5"/>
    </row>
    <row r="134" ht="31.5" customHeight="1">
      <c r="G134" s="3"/>
      <c r="M134" s="3">
        <f t="shared" si="4"/>
        <v>0</v>
      </c>
      <c r="N134" s="3">
        <f t="shared" si="5"/>
        <v>0</v>
      </c>
      <c r="O134" s="3">
        <f t="shared" si="3"/>
        <v>0</v>
      </c>
      <c r="P134" s="4">
        <v>0.0</v>
      </c>
      <c r="Q134" s="5"/>
      <c r="R134" s="5"/>
    </row>
    <row r="135" ht="31.5" customHeight="1">
      <c r="G135" s="3"/>
      <c r="M135" s="3">
        <f t="shared" si="4"/>
        <v>0</v>
      </c>
      <c r="N135" s="3">
        <f t="shared" si="5"/>
        <v>0</v>
      </c>
      <c r="O135" s="3">
        <f t="shared" si="3"/>
        <v>0</v>
      </c>
      <c r="P135" s="4">
        <v>0.0</v>
      </c>
      <c r="Q135" s="5"/>
      <c r="R135" s="5"/>
    </row>
    <row r="136" ht="31.5" customHeight="1">
      <c r="G136" s="3"/>
      <c r="M136" s="3">
        <f t="shared" si="4"/>
        <v>0</v>
      </c>
      <c r="N136" s="3">
        <f t="shared" si="5"/>
        <v>0</v>
      </c>
      <c r="O136" s="3">
        <f t="shared" si="3"/>
        <v>0</v>
      </c>
      <c r="P136" s="4">
        <v>0.0</v>
      </c>
      <c r="Q136" s="5"/>
      <c r="R136" s="5"/>
    </row>
    <row r="137" ht="31.5" customHeight="1">
      <c r="G137" s="3"/>
      <c r="M137" s="3">
        <f t="shared" si="4"/>
        <v>0</v>
      </c>
      <c r="N137" s="3">
        <f t="shared" si="5"/>
        <v>0</v>
      </c>
      <c r="O137" s="3">
        <f t="shared" si="3"/>
        <v>0</v>
      </c>
      <c r="P137" s="4">
        <v>0.0</v>
      </c>
      <c r="Q137" s="5"/>
      <c r="R137" s="5"/>
    </row>
    <row r="138" ht="31.5" customHeight="1">
      <c r="G138" s="3"/>
      <c r="M138" s="3">
        <f t="shared" si="4"/>
        <v>0</v>
      </c>
      <c r="N138" s="3">
        <f t="shared" si="5"/>
        <v>0</v>
      </c>
      <c r="O138" s="3">
        <f t="shared" si="3"/>
        <v>0</v>
      </c>
      <c r="P138" s="4">
        <v>0.0</v>
      </c>
      <c r="Q138" s="5"/>
      <c r="R138" s="5"/>
    </row>
    <row r="139" ht="31.5" customHeight="1">
      <c r="G139" s="3"/>
      <c r="M139" s="3">
        <f t="shared" si="4"/>
        <v>0</v>
      </c>
      <c r="N139" s="3">
        <f t="shared" si="5"/>
        <v>0</v>
      </c>
      <c r="O139" s="3">
        <f t="shared" si="3"/>
        <v>0</v>
      </c>
      <c r="P139" s="4">
        <v>0.0</v>
      </c>
      <c r="Q139" s="5"/>
      <c r="R139" s="5"/>
    </row>
    <row r="140" ht="31.5" customHeight="1">
      <c r="G140" s="3"/>
      <c r="M140" s="3">
        <f t="shared" si="4"/>
        <v>0</v>
      </c>
      <c r="N140" s="3">
        <f t="shared" si="5"/>
        <v>0</v>
      </c>
      <c r="O140" s="3">
        <f t="shared" si="3"/>
        <v>0</v>
      </c>
      <c r="P140" s="4">
        <v>0.0</v>
      </c>
      <c r="Q140" s="5"/>
      <c r="R140" s="5"/>
    </row>
    <row r="141" ht="31.5" customHeight="1">
      <c r="G141" s="3"/>
      <c r="M141" s="3">
        <f t="shared" si="4"/>
        <v>0</v>
      </c>
      <c r="N141" s="3">
        <f t="shared" si="5"/>
        <v>0</v>
      </c>
      <c r="O141" s="3">
        <f t="shared" si="3"/>
        <v>0</v>
      </c>
      <c r="P141" s="4">
        <v>0.0</v>
      </c>
      <c r="Q141" s="5"/>
      <c r="R141" s="5"/>
    </row>
    <row r="142" ht="31.5" customHeight="1">
      <c r="G142" s="3"/>
      <c r="M142" s="3">
        <f t="shared" si="4"/>
        <v>0</v>
      </c>
      <c r="N142" s="3">
        <f t="shared" si="5"/>
        <v>0</v>
      </c>
      <c r="O142" s="3">
        <f t="shared" si="3"/>
        <v>0</v>
      </c>
      <c r="P142" s="4">
        <v>0.0</v>
      </c>
      <c r="Q142" s="5"/>
      <c r="R142" s="5"/>
    </row>
    <row r="143" ht="31.5" customHeight="1">
      <c r="G143" s="3"/>
      <c r="M143" s="3">
        <f t="shared" si="4"/>
        <v>0</v>
      </c>
      <c r="N143" s="3">
        <f t="shared" si="5"/>
        <v>0</v>
      </c>
      <c r="O143" s="3">
        <f t="shared" si="3"/>
        <v>0</v>
      </c>
      <c r="P143" s="4">
        <v>0.0</v>
      </c>
      <c r="Q143" s="5"/>
      <c r="R143" s="5"/>
    </row>
    <row r="144" ht="31.5" customHeight="1">
      <c r="G144" s="3"/>
      <c r="M144" s="3">
        <f t="shared" si="4"/>
        <v>0</v>
      </c>
      <c r="N144" s="3">
        <f t="shared" si="5"/>
        <v>0</v>
      </c>
      <c r="O144" s="3">
        <f t="shared" si="3"/>
        <v>0</v>
      </c>
      <c r="P144" s="4">
        <v>0.0</v>
      </c>
      <c r="Q144" s="5"/>
      <c r="R144" s="5"/>
    </row>
    <row r="145" ht="31.5" customHeight="1">
      <c r="G145" s="3"/>
      <c r="M145" s="3">
        <f t="shared" si="4"/>
        <v>0</v>
      </c>
      <c r="N145" s="3">
        <f t="shared" si="5"/>
        <v>0</v>
      </c>
      <c r="O145" s="3">
        <f t="shared" si="3"/>
        <v>0</v>
      </c>
      <c r="P145" s="4">
        <v>0.0</v>
      </c>
      <c r="Q145" s="5"/>
      <c r="R145" s="5"/>
    </row>
    <row r="146" ht="31.5" customHeight="1">
      <c r="G146" s="3"/>
      <c r="M146" s="3">
        <f t="shared" si="4"/>
        <v>0</v>
      </c>
      <c r="N146" s="3">
        <f t="shared" si="5"/>
        <v>0</v>
      </c>
      <c r="O146" s="3">
        <f t="shared" si="3"/>
        <v>0</v>
      </c>
      <c r="P146" s="4">
        <v>0.0</v>
      </c>
      <c r="Q146" s="5"/>
      <c r="R146" s="5"/>
    </row>
    <row r="147" ht="31.5" customHeight="1">
      <c r="G147" s="3"/>
      <c r="M147" s="3">
        <f t="shared" si="4"/>
        <v>0</v>
      </c>
      <c r="N147" s="3">
        <f t="shared" si="5"/>
        <v>0</v>
      </c>
      <c r="O147" s="3">
        <f t="shared" si="3"/>
        <v>0</v>
      </c>
      <c r="P147" s="4">
        <v>0.0</v>
      </c>
      <c r="Q147" s="5"/>
      <c r="R147" s="5"/>
    </row>
    <row r="148" ht="31.5" customHeight="1">
      <c r="G148" s="3"/>
      <c r="M148" s="3">
        <f t="shared" si="4"/>
        <v>0</v>
      </c>
      <c r="N148" s="3">
        <f t="shared" si="5"/>
        <v>0</v>
      </c>
      <c r="O148" s="3">
        <f t="shared" si="3"/>
        <v>0</v>
      </c>
      <c r="P148" s="4">
        <v>0.0</v>
      </c>
      <c r="Q148" s="5"/>
      <c r="R148" s="5"/>
    </row>
    <row r="149" ht="31.5" customHeight="1">
      <c r="G149" s="3"/>
      <c r="M149" s="3">
        <f t="shared" si="4"/>
        <v>0</v>
      </c>
      <c r="N149" s="3">
        <f t="shared" si="5"/>
        <v>0</v>
      </c>
      <c r="O149" s="3">
        <f t="shared" si="3"/>
        <v>0</v>
      </c>
      <c r="P149" s="4">
        <v>0.0</v>
      </c>
      <c r="Q149" s="5"/>
      <c r="R149" s="5"/>
    </row>
    <row r="150" ht="31.5" customHeight="1">
      <c r="G150" s="3"/>
      <c r="M150" s="3">
        <f t="shared" si="4"/>
        <v>0</v>
      </c>
      <c r="N150" s="3">
        <f t="shared" si="5"/>
        <v>0</v>
      </c>
      <c r="O150" s="3">
        <f t="shared" si="3"/>
        <v>0</v>
      </c>
      <c r="P150" s="4">
        <v>0.0</v>
      </c>
      <c r="Q150" s="5"/>
      <c r="R150" s="5"/>
    </row>
    <row r="151" ht="31.5" customHeight="1">
      <c r="G151" s="3"/>
      <c r="M151" s="3">
        <f t="shared" si="4"/>
        <v>0</v>
      </c>
      <c r="N151" s="3">
        <f t="shared" si="5"/>
        <v>0</v>
      </c>
      <c r="O151" s="3">
        <f t="shared" si="3"/>
        <v>0</v>
      </c>
      <c r="P151" s="4">
        <v>0.0</v>
      </c>
      <c r="Q151" s="5"/>
      <c r="R151" s="5"/>
    </row>
    <row r="152" ht="31.5" customHeight="1">
      <c r="G152" s="3"/>
      <c r="M152" s="3">
        <f t="shared" si="4"/>
        <v>0</v>
      </c>
      <c r="N152" s="3">
        <f t="shared" si="5"/>
        <v>0</v>
      </c>
      <c r="O152" s="3">
        <f t="shared" si="3"/>
        <v>0</v>
      </c>
      <c r="P152" s="4">
        <v>0.0</v>
      </c>
      <c r="Q152" s="5"/>
      <c r="R152" s="5"/>
    </row>
    <row r="153" ht="31.5" customHeight="1">
      <c r="G153" s="3"/>
      <c r="M153" s="3">
        <f t="shared" si="4"/>
        <v>0</v>
      </c>
      <c r="N153" s="3">
        <f t="shared" si="5"/>
        <v>0</v>
      </c>
      <c r="O153" s="3">
        <f t="shared" si="3"/>
        <v>0</v>
      </c>
      <c r="P153" s="4">
        <v>0.0</v>
      </c>
      <c r="Q153" s="5"/>
      <c r="R153" s="5"/>
    </row>
    <row r="154" ht="31.5" customHeight="1">
      <c r="G154" s="3"/>
      <c r="M154" s="3">
        <f t="shared" si="4"/>
        <v>0</v>
      </c>
      <c r="N154" s="3">
        <f t="shared" si="5"/>
        <v>0</v>
      </c>
      <c r="O154" s="3">
        <f t="shared" si="3"/>
        <v>0</v>
      </c>
      <c r="P154" s="4">
        <v>0.0</v>
      </c>
      <c r="Q154" s="5"/>
      <c r="R154" s="5"/>
    </row>
    <row r="155" ht="31.5" customHeight="1">
      <c r="G155" s="3"/>
      <c r="M155" s="3">
        <f t="shared" si="4"/>
        <v>0</v>
      </c>
      <c r="N155" s="3">
        <f t="shared" si="5"/>
        <v>0</v>
      </c>
      <c r="O155" s="3">
        <f t="shared" si="3"/>
        <v>0</v>
      </c>
      <c r="P155" s="4">
        <v>0.0</v>
      </c>
      <c r="Q155" s="5"/>
      <c r="R155" s="5"/>
    </row>
    <row r="156" ht="31.5" customHeight="1">
      <c r="G156" s="3"/>
      <c r="M156" s="3">
        <f t="shared" si="4"/>
        <v>0</v>
      </c>
      <c r="N156" s="3">
        <f t="shared" si="5"/>
        <v>0</v>
      </c>
      <c r="O156" s="3">
        <f t="shared" si="3"/>
        <v>0</v>
      </c>
      <c r="P156" s="4">
        <v>0.0</v>
      </c>
      <c r="Q156" s="5"/>
      <c r="R156" s="5"/>
    </row>
    <row r="157" ht="31.5" customHeight="1">
      <c r="G157" s="3"/>
      <c r="M157" s="3">
        <f t="shared" si="4"/>
        <v>0</v>
      </c>
      <c r="N157" s="3">
        <f t="shared" si="5"/>
        <v>0</v>
      </c>
      <c r="O157" s="3">
        <f t="shared" si="3"/>
        <v>0</v>
      </c>
      <c r="P157" s="4">
        <v>0.0</v>
      </c>
      <c r="Q157" s="5"/>
      <c r="R157" s="5"/>
    </row>
    <row r="158" ht="31.5" customHeight="1">
      <c r="G158" s="3"/>
      <c r="M158" s="3">
        <f t="shared" si="4"/>
        <v>0</v>
      </c>
      <c r="N158" s="3">
        <f t="shared" si="5"/>
        <v>0</v>
      </c>
      <c r="O158" s="3">
        <f t="shared" si="3"/>
        <v>0</v>
      </c>
      <c r="P158" s="4">
        <v>0.0</v>
      </c>
      <c r="Q158" s="5"/>
      <c r="R158" s="5"/>
    </row>
    <row r="159" ht="31.5" customHeight="1">
      <c r="G159" s="3"/>
      <c r="M159" s="3">
        <f t="shared" si="4"/>
        <v>0</v>
      </c>
      <c r="N159" s="3">
        <f t="shared" si="5"/>
        <v>0</v>
      </c>
      <c r="O159" s="3">
        <f t="shared" si="3"/>
        <v>0</v>
      </c>
      <c r="P159" s="4">
        <v>0.0</v>
      </c>
      <c r="Q159" s="5"/>
      <c r="R159" s="5"/>
    </row>
    <row r="160" ht="31.5" customHeight="1">
      <c r="G160" s="3"/>
      <c r="M160" s="3">
        <f t="shared" si="4"/>
        <v>0</v>
      </c>
      <c r="N160" s="3">
        <f t="shared" si="5"/>
        <v>0</v>
      </c>
      <c r="O160" s="3">
        <f t="shared" si="3"/>
        <v>0</v>
      </c>
      <c r="P160" s="4">
        <v>0.0</v>
      </c>
      <c r="Q160" s="5"/>
      <c r="R160" s="5"/>
    </row>
    <row r="161" ht="31.5" customHeight="1">
      <c r="G161" s="3"/>
      <c r="M161" s="3">
        <f t="shared" si="4"/>
        <v>0</v>
      </c>
      <c r="N161" s="3">
        <f t="shared" si="5"/>
        <v>0</v>
      </c>
      <c r="O161" s="3">
        <f t="shared" si="3"/>
        <v>0</v>
      </c>
      <c r="P161" s="4">
        <v>0.0</v>
      </c>
      <c r="Q161" s="5"/>
      <c r="R161" s="5"/>
    </row>
    <row r="162" ht="31.5" customHeight="1">
      <c r="G162" s="3"/>
      <c r="M162" s="3">
        <f t="shared" si="4"/>
        <v>0</v>
      </c>
      <c r="N162" s="3">
        <f t="shared" si="5"/>
        <v>0</v>
      </c>
      <c r="O162" s="3">
        <f t="shared" si="3"/>
        <v>0</v>
      </c>
      <c r="P162" s="4">
        <v>0.0</v>
      </c>
      <c r="Q162" s="5"/>
      <c r="R162" s="5"/>
    </row>
    <row r="163" ht="31.5" customHeight="1">
      <c r="G163" s="3"/>
      <c r="M163" s="3">
        <f t="shared" si="4"/>
        <v>0</v>
      </c>
      <c r="N163" s="3">
        <f t="shared" si="5"/>
        <v>0</v>
      </c>
      <c r="O163" s="3">
        <f t="shared" si="3"/>
        <v>0</v>
      </c>
      <c r="P163" s="4">
        <v>0.0</v>
      </c>
      <c r="Q163" s="5"/>
      <c r="R163" s="5"/>
    </row>
    <row r="164" ht="31.5" customHeight="1">
      <c r="G164" s="3"/>
      <c r="M164" s="3">
        <f t="shared" si="4"/>
        <v>0</v>
      </c>
      <c r="N164" s="3">
        <f t="shared" si="5"/>
        <v>0</v>
      </c>
      <c r="O164" s="3">
        <f t="shared" si="3"/>
        <v>0</v>
      </c>
      <c r="P164" s="4">
        <v>0.0</v>
      </c>
      <c r="Q164" s="5"/>
      <c r="R164" s="5"/>
    </row>
    <row r="165" ht="31.5" customHeight="1">
      <c r="G165" s="3"/>
      <c r="M165" s="3">
        <f t="shared" si="4"/>
        <v>0</v>
      </c>
      <c r="N165" s="3">
        <f t="shared" si="5"/>
        <v>0</v>
      </c>
      <c r="O165" s="3">
        <f t="shared" si="3"/>
        <v>0</v>
      </c>
      <c r="P165" s="4">
        <v>0.0</v>
      </c>
      <c r="Q165" s="5"/>
      <c r="R165" s="5"/>
    </row>
    <row r="166" ht="31.5" customHeight="1">
      <c r="G166" s="3"/>
      <c r="M166" s="3">
        <f t="shared" si="4"/>
        <v>0</v>
      </c>
      <c r="N166" s="3">
        <f t="shared" si="5"/>
        <v>0</v>
      </c>
      <c r="O166" s="3">
        <f t="shared" si="3"/>
        <v>0</v>
      </c>
      <c r="P166" s="4">
        <v>0.0</v>
      </c>
      <c r="Q166" s="5"/>
      <c r="R166" s="5"/>
    </row>
    <row r="167" ht="31.5" customHeight="1">
      <c r="G167" s="3"/>
      <c r="M167" s="3">
        <f t="shared" si="4"/>
        <v>0</v>
      </c>
      <c r="N167" s="3">
        <f t="shared" si="5"/>
        <v>0</v>
      </c>
      <c r="O167" s="3">
        <f t="shared" si="3"/>
        <v>0</v>
      </c>
      <c r="P167" s="4">
        <v>0.0</v>
      </c>
      <c r="Q167" s="5"/>
      <c r="R167" s="5"/>
    </row>
    <row r="168" ht="31.5" customHeight="1">
      <c r="G168" s="3"/>
      <c r="M168" s="3">
        <f t="shared" si="4"/>
        <v>0</v>
      </c>
      <c r="N168" s="3">
        <f t="shared" si="5"/>
        <v>0</v>
      </c>
      <c r="O168" s="3">
        <f t="shared" si="3"/>
        <v>0</v>
      </c>
      <c r="P168" s="4">
        <v>0.0</v>
      </c>
      <c r="Q168" s="5"/>
      <c r="R168" s="5"/>
    </row>
    <row r="169" ht="31.5" customHeight="1">
      <c r="G169" s="3"/>
      <c r="M169" s="3">
        <f t="shared" si="4"/>
        <v>0</v>
      </c>
      <c r="N169" s="3">
        <f t="shared" si="5"/>
        <v>0</v>
      </c>
      <c r="O169" s="3">
        <f t="shared" si="3"/>
        <v>0</v>
      </c>
      <c r="P169" s="4">
        <v>0.0</v>
      </c>
      <c r="Q169" s="5"/>
      <c r="R169" s="5"/>
    </row>
    <row r="170" ht="31.5" customHeight="1">
      <c r="G170" s="3"/>
      <c r="M170" s="3">
        <f t="shared" si="4"/>
        <v>0</v>
      </c>
      <c r="N170" s="3">
        <f t="shared" si="5"/>
        <v>0</v>
      </c>
      <c r="O170" s="3">
        <f t="shared" si="3"/>
        <v>0</v>
      </c>
      <c r="P170" s="4">
        <v>0.0</v>
      </c>
      <c r="Q170" s="5"/>
      <c r="R170" s="5"/>
    </row>
    <row r="171" ht="31.5" customHeight="1">
      <c r="G171" s="3"/>
      <c r="M171" s="3">
        <f t="shared" si="4"/>
        <v>0</v>
      </c>
      <c r="N171" s="3">
        <f t="shared" si="5"/>
        <v>0</v>
      </c>
      <c r="O171" s="3">
        <f t="shared" si="3"/>
        <v>0</v>
      </c>
      <c r="P171" s="4">
        <v>0.0</v>
      </c>
      <c r="Q171" s="5"/>
      <c r="R171" s="5"/>
    </row>
    <row r="172" ht="31.5" customHeight="1">
      <c r="G172" s="3"/>
      <c r="M172" s="3">
        <f t="shared" si="4"/>
        <v>0</v>
      </c>
      <c r="N172" s="3">
        <f t="shared" si="5"/>
        <v>0</v>
      </c>
      <c r="O172" s="3">
        <f t="shared" si="3"/>
        <v>0</v>
      </c>
      <c r="P172" s="4">
        <v>0.0</v>
      </c>
      <c r="Q172" s="5"/>
      <c r="R172" s="5"/>
    </row>
    <row r="173" ht="31.5" customHeight="1">
      <c r="G173" s="3"/>
      <c r="M173" s="3">
        <f t="shared" si="4"/>
        <v>0</v>
      </c>
      <c r="N173" s="3">
        <f t="shared" si="5"/>
        <v>0</v>
      </c>
      <c r="O173" s="3">
        <f t="shared" si="3"/>
        <v>0</v>
      </c>
      <c r="P173" s="4">
        <v>0.0</v>
      </c>
      <c r="Q173" s="5"/>
      <c r="R173" s="5"/>
    </row>
    <row r="174" ht="31.5" customHeight="1">
      <c r="G174" s="3"/>
      <c r="M174" s="3">
        <f t="shared" si="4"/>
        <v>0</v>
      </c>
      <c r="N174" s="3">
        <f t="shared" si="5"/>
        <v>0</v>
      </c>
      <c r="O174" s="3">
        <f t="shared" si="3"/>
        <v>0</v>
      </c>
      <c r="P174" s="4">
        <v>0.0</v>
      </c>
      <c r="Q174" s="5"/>
      <c r="R174" s="5"/>
    </row>
    <row r="175" ht="31.5" customHeight="1">
      <c r="G175" s="3"/>
      <c r="M175" s="3">
        <f t="shared" si="4"/>
        <v>0</v>
      </c>
      <c r="N175" s="3">
        <f t="shared" si="5"/>
        <v>0</v>
      </c>
      <c r="O175" s="3">
        <f t="shared" si="3"/>
        <v>0</v>
      </c>
      <c r="P175" s="4">
        <v>0.0</v>
      </c>
      <c r="Q175" s="5"/>
      <c r="R175" s="5"/>
    </row>
    <row r="176" ht="31.5" customHeight="1">
      <c r="G176" s="3"/>
      <c r="M176" s="3">
        <f t="shared" si="4"/>
        <v>0</v>
      </c>
      <c r="N176" s="3">
        <f t="shared" si="5"/>
        <v>0</v>
      </c>
      <c r="O176" s="3">
        <f t="shared" si="3"/>
        <v>0</v>
      </c>
      <c r="P176" s="4">
        <v>0.0</v>
      </c>
      <c r="Q176" s="5"/>
      <c r="R176" s="5"/>
    </row>
    <row r="177" ht="31.5" customHeight="1">
      <c r="G177" s="3"/>
      <c r="M177" s="3">
        <f t="shared" si="4"/>
        <v>0</v>
      </c>
      <c r="N177" s="3">
        <f t="shared" si="5"/>
        <v>0</v>
      </c>
      <c r="O177" s="3">
        <f t="shared" si="3"/>
        <v>0</v>
      </c>
      <c r="P177" s="4">
        <v>0.0</v>
      </c>
      <c r="Q177" s="5"/>
      <c r="R177" s="5"/>
    </row>
    <row r="178" ht="31.5" customHeight="1">
      <c r="G178" s="3"/>
      <c r="M178" s="3">
        <f t="shared" si="4"/>
        <v>0</v>
      </c>
      <c r="N178" s="3">
        <f t="shared" si="5"/>
        <v>0</v>
      </c>
      <c r="O178" s="3">
        <f t="shared" si="3"/>
        <v>0</v>
      </c>
      <c r="P178" s="4">
        <v>0.0</v>
      </c>
      <c r="Q178" s="5"/>
      <c r="R178" s="5"/>
    </row>
    <row r="179" ht="31.5" customHeight="1">
      <c r="G179" s="3"/>
      <c r="M179" s="3">
        <f t="shared" si="4"/>
        <v>0</v>
      </c>
      <c r="N179" s="3">
        <f t="shared" si="5"/>
        <v>0</v>
      </c>
      <c r="O179" s="3">
        <f t="shared" si="3"/>
        <v>0</v>
      </c>
      <c r="P179" s="4">
        <v>0.0</v>
      </c>
      <c r="Q179" s="5"/>
      <c r="R179" s="5"/>
    </row>
    <row r="180" ht="31.5" customHeight="1">
      <c r="G180" s="3"/>
      <c r="M180" s="3">
        <f t="shared" si="4"/>
        <v>0</v>
      </c>
      <c r="N180" s="3">
        <f t="shared" si="5"/>
        <v>0</v>
      </c>
      <c r="O180" s="3">
        <f t="shared" si="3"/>
        <v>0</v>
      </c>
      <c r="P180" s="4">
        <v>0.0</v>
      </c>
      <c r="Q180" s="5"/>
      <c r="R180" s="5"/>
    </row>
    <row r="181" ht="31.5" customHeight="1">
      <c r="G181" s="3"/>
      <c r="M181" s="3">
        <f t="shared" si="4"/>
        <v>0</v>
      </c>
      <c r="N181" s="3">
        <f t="shared" si="5"/>
        <v>0</v>
      </c>
      <c r="O181" s="3">
        <f t="shared" si="3"/>
        <v>0</v>
      </c>
      <c r="P181" s="4">
        <v>0.0</v>
      </c>
      <c r="Q181" s="5"/>
      <c r="R181" s="5"/>
    </row>
    <row r="182" ht="31.5" customHeight="1">
      <c r="G182" s="3"/>
      <c r="M182" s="3">
        <f t="shared" si="4"/>
        <v>0</v>
      </c>
      <c r="N182" s="3">
        <f t="shared" si="5"/>
        <v>0</v>
      </c>
      <c r="O182" s="3">
        <f t="shared" si="3"/>
        <v>0</v>
      </c>
      <c r="P182" s="4">
        <v>0.0</v>
      </c>
      <c r="Q182" s="5"/>
      <c r="R182" s="5"/>
    </row>
    <row r="183" ht="31.5" customHeight="1">
      <c r="G183" s="3"/>
      <c r="M183" s="3">
        <f t="shared" si="4"/>
        <v>0</v>
      </c>
      <c r="N183" s="3">
        <f t="shared" si="5"/>
        <v>0</v>
      </c>
      <c r="O183" s="3">
        <f t="shared" si="3"/>
        <v>0</v>
      </c>
      <c r="P183" s="4">
        <v>0.0</v>
      </c>
      <c r="Q183" s="5"/>
      <c r="R183" s="5"/>
    </row>
    <row r="184" ht="31.5" customHeight="1">
      <c r="G184" s="3"/>
      <c r="M184" s="3">
        <f t="shared" si="4"/>
        <v>0</v>
      </c>
      <c r="N184" s="3">
        <f t="shared" si="5"/>
        <v>0</v>
      </c>
      <c r="O184" s="3">
        <f t="shared" si="3"/>
        <v>0</v>
      </c>
      <c r="P184" s="4">
        <v>0.0</v>
      </c>
      <c r="Q184" s="5"/>
      <c r="R184" s="5"/>
    </row>
    <row r="185" ht="31.5" customHeight="1">
      <c r="G185" s="3"/>
      <c r="M185" s="3">
        <f t="shared" si="4"/>
        <v>0</v>
      </c>
      <c r="N185" s="3">
        <f t="shared" si="5"/>
        <v>0</v>
      </c>
      <c r="O185" s="3">
        <f t="shared" si="3"/>
        <v>0</v>
      </c>
      <c r="P185" s="4">
        <v>0.0</v>
      </c>
      <c r="Q185" s="5"/>
      <c r="R185" s="5"/>
    </row>
    <row r="186" ht="31.5" customHeight="1">
      <c r="G186" s="3"/>
      <c r="M186" s="3">
        <f t="shared" si="4"/>
        <v>0</v>
      </c>
      <c r="N186" s="3">
        <f t="shared" si="5"/>
        <v>0</v>
      </c>
      <c r="O186" s="3">
        <f t="shared" si="3"/>
        <v>0</v>
      </c>
      <c r="P186" s="4">
        <v>0.0</v>
      </c>
      <c r="Q186" s="5"/>
      <c r="R186" s="5"/>
    </row>
    <row r="187" ht="31.5" customHeight="1">
      <c r="G187" s="3"/>
      <c r="M187" s="3">
        <f t="shared" si="4"/>
        <v>0</v>
      </c>
      <c r="N187" s="3">
        <f t="shared" si="5"/>
        <v>0</v>
      </c>
      <c r="O187" s="3">
        <f t="shared" si="3"/>
        <v>0</v>
      </c>
      <c r="P187" s="4">
        <v>0.0</v>
      </c>
      <c r="Q187" s="5"/>
      <c r="R187" s="5"/>
    </row>
    <row r="188" ht="31.5" customHeight="1">
      <c r="G188" s="3"/>
      <c r="M188" s="3">
        <f t="shared" si="4"/>
        <v>0</v>
      </c>
      <c r="N188" s="3">
        <f t="shared" si="5"/>
        <v>0</v>
      </c>
      <c r="O188" s="3">
        <f t="shared" si="3"/>
        <v>0</v>
      </c>
      <c r="P188" s="4">
        <v>0.0</v>
      </c>
      <c r="Q188" s="5"/>
      <c r="R188" s="5"/>
    </row>
    <row r="189" ht="31.5" customHeight="1">
      <c r="G189" s="3"/>
      <c r="M189" s="3">
        <f t="shared" si="4"/>
        <v>0</v>
      </c>
      <c r="N189" s="3">
        <f t="shared" si="5"/>
        <v>0</v>
      </c>
      <c r="O189" s="3">
        <f t="shared" si="3"/>
        <v>0</v>
      </c>
      <c r="P189" s="4">
        <v>0.0</v>
      </c>
      <c r="Q189" s="5"/>
      <c r="R189" s="5"/>
    </row>
    <row r="190" ht="31.5" customHeight="1">
      <c r="G190" s="3"/>
      <c r="M190" s="3">
        <f t="shared" si="4"/>
        <v>0</v>
      </c>
      <c r="N190" s="3">
        <f t="shared" si="5"/>
        <v>0</v>
      </c>
      <c r="O190" s="3">
        <f t="shared" si="3"/>
        <v>0</v>
      </c>
      <c r="P190" s="4">
        <v>0.0</v>
      </c>
      <c r="Q190" s="5"/>
      <c r="R190" s="5"/>
    </row>
    <row r="191" ht="31.5" customHeight="1">
      <c r="G191" s="3"/>
      <c r="M191" s="3">
        <f t="shared" si="4"/>
        <v>0</v>
      </c>
      <c r="N191" s="3">
        <f t="shared" si="5"/>
        <v>0</v>
      </c>
      <c r="O191" s="3">
        <f t="shared" si="3"/>
        <v>0</v>
      </c>
      <c r="P191" s="4">
        <v>0.0</v>
      </c>
      <c r="Q191" s="5"/>
      <c r="R191" s="5"/>
    </row>
    <row r="192" ht="31.5" customHeight="1">
      <c r="G192" s="3"/>
      <c r="M192" s="3">
        <f t="shared" si="4"/>
        <v>0</v>
      </c>
      <c r="N192" s="3">
        <f t="shared" si="5"/>
        <v>0</v>
      </c>
      <c r="O192" s="3">
        <f t="shared" si="3"/>
        <v>0</v>
      </c>
      <c r="P192" s="4">
        <v>0.0</v>
      </c>
      <c r="Q192" s="5"/>
      <c r="R192" s="5"/>
    </row>
    <row r="193" ht="31.5" customHeight="1">
      <c r="G193" s="3"/>
      <c r="M193" s="3">
        <f t="shared" si="4"/>
        <v>0</v>
      </c>
      <c r="N193" s="3">
        <f t="shared" si="5"/>
        <v>0</v>
      </c>
      <c r="O193" s="3">
        <f t="shared" si="3"/>
        <v>0</v>
      </c>
      <c r="P193" s="4">
        <v>0.0</v>
      </c>
      <c r="Q193" s="5"/>
      <c r="R193" s="5"/>
    </row>
    <row r="194" ht="31.5" customHeight="1">
      <c r="G194" s="3"/>
      <c r="M194" s="3">
        <f t="shared" si="4"/>
        <v>0</v>
      </c>
      <c r="N194" s="3">
        <f t="shared" si="5"/>
        <v>0</v>
      </c>
      <c r="O194" s="3">
        <f t="shared" si="3"/>
        <v>0</v>
      </c>
      <c r="P194" s="4">
        <v>0.0</v>
      </c>
      <c r="Q194" s="5"/>
      <c r="R194" s="5"/>
    </row>
    <row r="195" ht="31.5" customHeight="1">
      <c r="G195" s="3"/>
      <c r="M195" s="3">
        <f t="shared" si="4"/>
        <v>0</v>
      </c>
      <c r="N195" s="3">
        <f t="shared" si="5"/>
        <v>0</v>
      </c>
      <c r="O195" s="3">
        <f t="shared" si="3"/>
        <v>0</v>
      </c>
      <c r="P195" s="4">
        <v>0.0</v>
      </c>
      <c r="Q195" s="5"/>
      <c r="R195" s="5"/>
    </row>
    <row r="196" ht="31.5" customHeight="1">
      <c r="G196" s="3"/>
      <c r="M196" s="3">
        <f t="shared" si="4"/>
        <v>0</v>
      </c>
      <c r="N196" s="3">
        <f t="shared" si="5"/>
        <v>0</v>
      </c>
      <c r="O196" s="3">
        <f t="shared" si="3"/>
        <v>0</v>
      </c>
      <c r="P196" s="4">
        <v>0.0</v>
      </c>
      <c r="Q196" s="5"/>
      <c r="R196" s="5"/>
    </row>
    <row r="197" ht="31.5" customHeight="1">
      <c r="G197" s="3"/>
      <c r="M197" s="3">
        <f t="shared" si="4"/>
        <v>0</v>
      </c>
      <c r="N197" s="3">
        <f t="shared" si="5"/>
        <v>0</v>
      </c>
      <c r="O197" s="3">
        <f t="shared" si="3"/>
        <v>0</v>
      </c>
      <c r="P197" s="4">
        <v>0.0</v>
      </c>
      <c r="Q197" s="5"/>
      <c r="R197" s="5"/>
    </row>
    <row r="198" ht="31.5" customHeight="1">
      <c r="G198" s="3"/>
      <c r="M198" s="3">
        <f t="shared" si="4"/>
        <v>0</v>
      </c>
      <c r="N198" s="3">
        <f t="shared" si="5"/>
        <v>0</v>
      </c>
      <c r="O198" s="3">
        <f t="shared" si="3"/>
        <v>0</v>
      </c>
      <c r="P198" s="4">
        <v>0.0</v>
      </c>
      <c r="Q198" s="5"/>
      <c r="R198" s="5"/>
    </row>
    <row r="199" ht="31.5" customHeight="1">
      <c r="G199" s="3"/>
      <c r="M199" s="3">
        <f t="shared" si="4"/>
        <v>0</v>
      </c>
      <c r="N199" s="3">
        <f t="shared" si="5"/>
        <v>0</v>
      </c>
      <c r="O199" s="3">
        <f t="shared" si="3"/>
        <v>0</v>
      </c>
      <c r="P199" s="4">
        <v>0.0</v>
      </c>
      <c r="Q199" s="5"/>
      <c r="R199" s="5"/>
    </row>
    <row r="200" ht="31.5" customHeight="1">
      <c r="G200" s="3"/>
      <c r="M200" s="3">
        <f t="shared" si="4"/>
        <v>0</v>
      </c>
      <c r="N200" s="3">
        <f t="shared" si="5"/>
        <v>0</v>
      </c>
      <c r="O200" s="3">
        <f t="shared" si="3"/>
        <v>0</v>
      </c>
      <c r="P200" s="4">
        <v>0.0</v>
      </c>
      <c r="Q200" s="5"/>
      <c r="R200" s="5"/>
    </row>
    <row r="201" ht="31.5" customHeight="1">
      <c r="G201" s="3"/>
      <c r="M201" s="3">
        <f t="shared" si="4"/>
        <v>0</v>
      </c>
      <c r="N201" s="3">
        <f t="shared" si="5"/>
        <v>0</v>
      </c>
      <c r="O201" s="3">
        <f t="shared" si="3"/>
        <v>0</v>
      </c>
      <c r="P201" s="4">
        <v>0.0</v>
      </c>
      <c r="Q201" s="5"/>
      <c r="R201" s="5"/>
    </row>
    <row r="202" ht="31.5" customHeight="1">
      <c r="G202" s="3"/>
      <c r="M202" s="3">
        <f t="shared" si="4"/>
        <v>0</v>
      </c>
      <c r="N202" s="3">
        <f t="shared" si="5"/>
        <v>0</v>
      </c>
      <c r="O202" s="3">
        <f t="shared" si="3"/>
        <v>0</v>
      </c>
      <c r="P202" s="4">
        <v>0.0</v>
      </c>
      <c r="Q202" s="5"/>
      <c r="R202" s="5"/>
    </row>
    <row r="203" ht="31.5" customHeight="1">
      <c r="G203" s="3"/>
      <c r="M203" s="3">
        <f t="shared" si="4"/>
        <v>0</v>
      </c>
      <c r="N203" s="3">
        <f t="shared" si="5"/>
        <v>0</v>
      </c>
      <c r="O203" s="3">
        <f t="shared" si="3"/>
        <v>0</v>
      </c>
      <c r="P203" s="4">
        <v>0.0</v>
      </c>
      <c r="Q203" s="5"/>
      <c r="R203" s="5"/>
    </row>
    <row r="204" ht="31.5" customHeight="1">
      <c r="G204" s="3"/>
      <c r="M204" s="3">
        <f t="shared" si="4"/>
        <v>0</v>
      </c>
      <c r="N204" s="3">
        <f t="shared" si="5"/>
        <v>0</v>
      </c>
      <c r="O204" s="3">
        <f t="shared" si="3"/>
        <v>0</v>
      </c>
      <c r="P204" s="4">
        <v>0.0</v>
      </c>
      <c r="Q204" s="5"/>
      <c r="R204" s="5"/>
    </row>
    <row r="205" ht="31.5" customHeight="1">
      <c r="G205" s="3"/>
      <c r="M205" s="3">
        <f t="shared" si="4"/>
        <v>0</v>
      </c>
      <c r="N205" s="3">
        <f t="shared" si="5"/>
        <v>0</v>
      </c>
      <c r="O205" s="3">
        <f t="shared" si="3"/>
        <v>0</v>
      </c>
      <c r="P205" s="4">
        <v>0.0</v>
      </c>
      <c r="Q205" s="5"/>
      <c r="R205" s="5"/>
    </row>
    <row r="206" ht="31.5" customHeight="1">
      <c r="G206" s="3"/>
      <c r="M206" s="3">
        <f t="shared" si="4"/>
        <v>0</v>
      </c>
      <c r="N206" s="3">
        <f t="shared" si="5"/>
        <v>0</v>
      </c>
      <c r="O206" s="3">
        <f t="shared" si="3"/>
        <v>0</v>
      </c>
      <c r="P206" s="4">
        <v>0.0</v>
      </c>
      <c r="Q206" s="5"/>
      <c r="R206" s="5"/>
    </row>
    <row r="207" ht="31.5" customHeight="1">
      <c r="G207" s="3"/>
      <c r="M207" s="3">
        <f t="shared" si="4"/>
        <v>0</v>
      </c>
      <c r="N207" s="3">
        <f t="shared" si="5"/>
        <v>0</v>
      </c>
      <c r="O207" s="3">
        <f t="shared" si="3"/>
        <v>0</v>
      </c>
      <c r="P207" s="4">
        <v>0.0</v>
      </c>
      <c r="Q207" s="5"/>
      <c r="R207" s="5"/>
    </row>
    <row r="208" ht="31.5" customHeight="1">
      <c r="G208" s="3"/>
      <c r="M208" s="3">
        <f t="shared" si="4"/>
        <v>0</v>
      </c>
      <c r="N208" s="3">
        <f t="shared" si="5"/>
        <v>0</v>
      </c>
      <c r="O208" s="3">
        <f t="shared" si="3"/>
        <v>0</v>
      </c>
      <c r="P208" s="4">
        <v>0.0</v>
      </c>
      <c r="Q208" s="5"/>
      <c r="R208" s="5"/>
    </row>
    <row r="209" ht="31.5" customHeight="1">
      <c r="G209" s="3"/>
      <c r="M209" s="3">
        <f t="shared" si="4"/>
        <v>0</v>
      </c>
      <c r="N209" s="3">
        <f t="shared" si="5"/>
        <v>0</v>
      </c>
      <c r="O209" s="3">
        <f t="shared" si="3"/>
        <v>0</v>
      </c>
      <c r="P209" s="4">
        <v>0.0</v>
      </c>
      <c r="Q209" s="5"/>
      <c r="R209" s="5"/>
    </row>
    <row r="210" ht="31.5" customHeight="1">
      <c r="G210" s="3"/>
      <c r="M210" s="3">
        <f t="shared" si="4"/>
        <v>0</v>
      </c>
      <c r="N210" s="3">
        <f t="shared" si="5"/>
        <v>0</v>
      </c>
      <c r="O210" s="3">
        <f t="shared" si="3"/>
        <v>0</v>
      </c>
      <c r="P210" s="4">
        <v>0.0</v>
      </c>
      <c r="Q210" s="5"/>
      <c r="R210" s="5"/>
    </row>
    <row r="211" ht="31.5" customHeight="1">
      <c r="G211" s="3"/>
      <c r="M211" s="3">
        <f t="shared" si="4"/>
        <v>0</v>
      </c>
      <c r="N211" s="3">
        <f t="shared" si="5"/>
        <v>0</v>
      </c>
      <c r="O211" s="3">
        <f t="shared" si="3"/>
        <v>0</v>
      </c>
      <c r="P211" s="4">
        <v>0.0</v>
      </c>
      <c r="Q211" s="5"/>
      <c r="R211" s="5"/>
    </row>
    <row r="212" ht="31.5" customHeight="1">
      <c r="G212" s="3"/>
      <c r="M212" s="3">
        <f t="shared" si="4"/>
        <v>0</v>
      </c>
      <c r="N212" s="3">
        <f t="shared" si="5"/>
        <v>0</v>
      </c>
      <c r="O212" s="3">
        <f t="shared" si="3"/>
        <v>0</v>
      </c>
      <c r="P212" s="4">
        <v>0.0</v>
      </c>
      <c r="Q212" s="5"/>
      <c r="R212" s="5"/>
    </row>
    <row r="213" ht="31.5" customHeight="1">
      <c r="G213" s="3"/>
      <c r="M213" s="3">
        <f t="shared" si="4"/>
        <v>0</v>
      </c>
      <c r="N213" s="3">
        <f t="shared" si="5"/>
        <v>0</v>
      </c>
      <c r="O213" s="3">
        <f t="shared" si="3"/>
        <v>0</v>
      </c>
      <c r="P213" s="4">
        <v>0.0</v>
      </c>
      <c r="Q213" s="5"/>
      <c r="R213" s="5"/>
    </row>
    <row r="214" ht="31.5" customHeight="1">
      <c r="G214" s="3"/>
      <c r="M214" s="3">
        <f t="shared" si="4"/>
        <v>0</v>
      </c>
      <c r="N214" s="3">
        <f t="shared" si="5"/>
        <v>0</v>
      </c>
      <c r="O214" s="3">
        <f t="shared" si="3"/>
        <v>0</v>
      </c>
      <c r="P214" s="4">
        <v>0.0</v>
      </c>
      <c r="Q214" s="5"/>
      <c r="R214" s="5"/>
    </row>
    <row r="215" ht="31.5" customHeight="1">
      <c r="G215" s="3"/>
      <c r="M215" s="3">
        <f t="shared" si="4"/>
        <v>0</v>
      </c>
      <c r="N215" s="3">
        <f t="shared" si="5"/>
        <v>0</v>
      </c>
      <c r="O215" s="3">
        <f t="shared" si="3"/>
        <v>0</v>
      </c>
      <c r="P215" s="4">
        <v>0.0</v>
      </c>
      <c r="Q215" s="5"/>
      <c r="R215" s="5"/>
    </row>
    <row r="216" ht="31.5" customHeight="1">
      <c r="G216" s="3"/>
      <c r="M216" s="3">
        <f t="shared" si="4"/>
        <v>0</v>
      </c>
      <c r="N216" s="3">
        <f t="shared" si="5"/>
        <v>0</v>
      </c>
      <c r="O216" s="3">
        <f t="shared" si="3"/>
        <v>0</v>
      </c>
      <c r="P216" s="4">
        <v>0.0</v>
      </c>
      <c r="Q216" s="5"/>
      <c r="R216" s="5"/>
    </row>
    <row r="217" ht="31.5" customHeight="1">
      <c r="G217" s="3"/>
      <c r="M217" s="3">
        <f t="shared" si="4"/>
        <v>0</v>
      </c>
      <c r="N217" s="3">
        <f t="shared" si="5"/>
        <v>0</v>
      </c>
      <c r="O217" s="3">
        <f t="shared" si="3"/>
        <v>0</v>
      </c>
      <c r="P217" s="4">
        <v>0.0</v>
      </c>
      <c r="Q217" s="5"/>
      <c r="R217" s="5"/>
    </row>
    <row r="218" ht="31.5" customHeight="1">
      <c r="G218" s="3"/>
      <c r="M218" s="3">
        <f t="shared" si="4"/>
        <v>0</v>
      </c>
      <c r="N218" s="3">
        <f t="shared" si="5"/>
        <v>0</v>
      </c>
      <c r="O218" s="3">
        <f t="shared" si="3"/>
        <v>0</v>
      </c>
      <c r="P218" s="4">
        <v>0.0</v>
      </c>
      <c r="Q218" s="5"/>
      <c r="R218" s="5"/>
    </row>
    <row r="219" ht="31.5" customHeight="1">
      <c r="G219" s="3"/>
      <c r="M219" s="3">
        <f t="shared" si="4"/>
        <v>0</v>
      </c>
      <c r="N219" s="3">
        <f t="shared" si="5"/>
        <v>0</v>
      </c>
      <c r="O219" s="3">
        <f t="shared" si="3"/>
        <v>0</v>
      </c>
      <c r="P219" s="4">
        <v>0.0</v>
      </c>
      <c r="Q219" s="5"/>
      <c r="R219" s="5"/>
    </row>
    <row r="220" ht="31.5" customHeight="1">
      <c r="G220" s="3"/>
      <c r="M220" s="3">
        <f t="shared" si="4"/>
        <v>0</v>
      </c>
      <c r="N220" s="3">
        <f t="shared" si="5"/>
        <v>0</v>
      </c>
      <c r="O220" s="3">
        <f t="shared" si="3"/>
        <v>0</v>
      </c>
      <c r="P220" s="4">
        <v>0.0</v>
      </c>
      <c r="Q220" s="5"/>
      <c r="R220" s="5"/>
    </row>
    <row r="221" ht="31.5" customHeight="1">
      <c r="G221" s="3"/>
      <c r="M221" s="3">
        <f t="shared" si="4"/>
        <v>0</v>
      </c>
      <c r="N221" s="3">
        <f t="shared" si="5"/>
        <v>0</v>
      </c>
      <c r="O221" s="3">
        <f t="shared" si="3"/>
        <v>0</v>
      </c>
      <c r="P221" s="4">
        <v>0.0</v>
      </c>
      <c r="Q221" s="5"/>
      <c r="R221" s="5"/>
    </row>
    <row r="222" ht="31.5" customHeight="1">
      <c r="G222" s="3"/>
      <c r="M222" s="3">
        <f t="shared" si="4"/>
        <v>0</v>
      </c>
      <c r="N222" s="3">
        <f t="shared" si="5"/>
        <v>0</v>
      </c>
      <c r="O222" s="3">
        <f t="shared" si="3"/>
        <v>0</v>
      </c>
      <c r="P222" s="4">
        <v>0.0</v>
      </c>
      <c r="Q222" s="5"/>
      <c r="R222" s="5"/>
    </row>
    <row r="223" ht="31.5" customHeight="1">
      <c r="G223" s="3"/>
      <c r="M223" s="3">
        <f t="shared" si="4"/>
        <v>0</v>
      </c>
      <c r="N223" s="3">
        <f t="shared" si="5"/>
        <v>0</v>
      </c>
      <c r="O223" s="3">
        <f t="shared" si="3"/>
        <v>0</v>
      </c>
      <c r="P223" s="4">
        <v>0.0</v>
      </c>
      <c r="Q223" s="5"/>
      <c r="R223" s="5"/>
    </row>
    <row r="224" ht="31.5" customHeight="1">
      <c r="G224" s="3"/>
      <c r="M224" s="3">
        <f t="shared" si="4"/>
        <v>0</v>
      </c>
      <c r="N224" s="3">
        <f t="shared" si="5"/>
        <v>0</v>
      </c>
      <c r="O224" s="3">
        <f t="shared" si="3"/>
        <v>0</v>
      </c>
      <c r="P224" s="4">
        <v>0.0</v>
      </c>
      <c r="Q224" s="5"/>
      <c r="R224" s="5"/>
    </row>
    <row r="225" ht="31.5" customHeight="1">
      <c r="G225" s="3"/>
      <c r="M225" s="3">
        <f t="shared" si="4"/>
        <v>0</v>
      </c>
      <c r="N225" s="3">
        <f t="shared" si="5"/>
        <v>0</v>
      </c>
      <c r="O225" s="3">
        <f t="shared" si="3"/>
        <v>0</v>
      </c>
      <c r="P225" s="4">
        <v>0.0</v>
      </c>
      <c r="Q225" s="5"/>
      <c r="R225" s="5"/>
    </row>
    <row r="226" ht="31.5" customHeight="1">
      <c r="G226" s="3"/>
      <c r="M226" s="3">
        <f t="shared" si="4"/>
        <v>0</v>
      </c>
      <c r="N226" s="3">
        <f t="shared" si="5"/>
        <v>0</v>
      </c>
      <c r="O226" s="3">
        <f t="shared" si="3"/>
        <v>0</v>
      </c>
      <c r="P226" s="4">
        <v>0.0</v>
      </c>
      <c r="Q226" s="5"/>
      <c r="R226" s="5"/>
    </row>
    <row r="227" ht="31.5" customHeight="1">
      <c r="G227" s="3"/>
      <c r="M227" s="3">
        <f t="shared" si="4"/>
        <v>0</v>
      </c>
      <c r="N227" s="3">
        <f t="shared" si="5"/>
        <v>0</v>
      </c>
      <c r="O227" s="3">
        <f t="shared" si="3"/>
        <v>0</v>
      </c>
      <c r="P227" s="4">
        <v>0.0</v>
      </c>
      <c r="Q227" s="5"/>
      <c r="R227" s="5"/>
    </row>
    <row r="228" ht="31.5" customHeight="1">
      <c r="G228" s="3"/>
      <c r="M228" s="3">
        <f t="shared" si="4"/>
        <v>0</v>
      </c>
      <c r="N228" s="3">
        <f t="shared" si="5"/>
        <v>0</v>
      </c>
      <c r="O228" s="3">
        <f t="shared" si="3"/>
        <v>0</v>
      </c>
      <c r="P228" s="4">
        <v>0.0</v>
      </c>
      <c r="Q228" s="5"/>
      <c r="R228" s="5"/>
    </row>
    <row r="229" ht="31.5" customHeight="1">
      <c r="G229" s="3"/>
      <c r="M229" s="3">
        <f t="shared" si="4"/>
        <v>0</v>
      </c>
      <c r="N229" s="3">
        <f t="shared" si="5"/>
        <v>0</v>
      </c>
      <c r="O229" s="3">
        <f t="shared" si="3"/>
        <v>0</v>
      </c>
      <c r="P229" s="4">
        <v>0.0</v>
      </c>
      <c r="Q229" s="5"/>
      <c r="R229" s="5"/>
    </row>
    <row r="230" ht="31.5" customHeight="1">
      <c r="G230" s="3"/>
      <c r="M230" s="3">
        <f t="shared" si="4"/>
        <v>0</v>
      </c>
      <c r="N230" s="3">
        <f t="shared" si="5"/>
        <v>0</v>
      </c>
      <c r="O230" s="3">
        <f t="shared" si="3"/>
        <v>0</v>
      </c>
      <c r="P230" s="4">
        <v>0.0</v>
      </c>
      <c r="Q230" s="5"/>
      <c r="R230" s="5"/>
    </row>
    <row r="231" ht="31.5" customHeight="1">
      <c r="G231" s="3"/>
      <c r="M231" s="3">
        <f t="shared" si="4"/>
        <v>0</v>
      </c>
      <c r="N231" s="3">
        <f t="shared" si="5"/>
        <v>0</v>
      </c>
      <c r="O231" s="3">
        <f t="shared" si="3"/>
        <v>0</v>
      </c>
      <c r="P231" s="4">
        <v>0.0</v>
      </c>
      <c r="Q231" s="5"/>
      <c r="R231" s="5"/>
    </row>
    <row r="232" ht="31.5" customHeight="1">
      <c r="G232" s="3"/>
      <c r="M232" s="3">
        <f t="shared" si="4"/>
        <v>0</v>
      </c>
      <c r="N232" s="3">
        <f t="shared" si="5"/>
        <v>0</v>
      </c>
      <c r="O232" s="3">
        <f t="shared" si="3"/>
        <v>0</v>
      </c>
      <c r="P232" s="4">
        <v>0.0</v>
      </c>
      <c r="Q232" s="5"/>
      <c r="R232" s="5"/>
    </row>
    <row r="233" ht="31.5" customHeight="1">
      <c r="G233" s="3"/>
      <c r="M233" s="3">
        <f t="shared" si="4"/>
        <v>0</v>
      </c>
      <c r="N233" s="3">
        <f t="shared" si="5"/>
        <v>0</v>
      </c>
      <c r="O233" s="3">
        <f t="shared" si="3"/>
        <v>0</v>
      </c>
      <c r="P233" s="4">
        <v>0.0</v>
      </c>
      <c r="Q233" s="5"/>
      <c r="R233" s="5"/>
    </row>
    <row r="234" ht="31.5" customHeight="1">
      <c r="G234" s="3"/>
      <c r="M234" s="3">
        <f t="shared" si="4"/>
        <v>0</v>
      </c>
      <c r="N234" s="3">
        <f t="shared" si="5"/>
        <v>0</v>
      </c>
      <c r="O234" s="3">
        <f t="shared" si="3"/>
        <v>0</v>
      </c>
      <c r="P234" s="4">
        <v>0.0</v>
      </c>
      <c r="Q234" s="5"/>
      <c r="R234" s="5"/>
    </row>
    <row r="235" ht="31.5" customHeight="1">
      <c r="G235" s="3"/>
      <c r="M235" s="3">
        <f t="shared" si="4"/>
        <v>0</v>
      </c>
      <c r="N235" s="3">
        <f t="shared" si="5"/>
        <v>0</v>
      </c>
      <c r="O235" s="3">
        <f t="shared" si="3"/>
        <v>0</v>
      </c>
      <c r="P235" s="4">
        <v>0.0</v>
      </c>
      <c r="Q235" s="5"/>
      <c r="R235" s="5"/>
    </row>
    <row r="236" ht="31.5" customHeight="1">
      <c r="G236" s="3"/>
      <c r="M236" s="3">
        <f t="shared" si="4"/>
        <v>0</v>
      </c>
      <c r="N236" s="3">
        <f t="shared" si="5"/>
        <v>0</v>
      </c>
      <c r="O236" s="3">
        <f t="shared" si="3"/>
        <v>0</v>
      </c>
      <c r="P236" s="4">
        <v>0.0</v>
      </c>
      <c r="Q236" s="5"/>
      <c r="R236" s="5"/>
    </row>
    <row r="237" ht="31.5" customHeight="1">
      <c r="G237" s="3"/>
      <c r="M237" s="3">
        <f t="shared" si="4"/>
        <v>0</v>
      </c>
      <c r="N237" s="3">
        <f t="shared" si="5"/>
        <v>0</v>
      </c>
      <c r="O237" s="3">
        <f t="shared" si="3"/>
        <v>0</v>
      </c>
      <c r="P237" s="4">
        <v>0.0</v>
      </c>
      <c r="Q237" s="5"/>
      <c r="R237" s="5"/>
    </row>
    <row r="238" ht="31.5" customHeight="1">
      <c r="G238" s="3"/>
      <c r="M238" s="3">
        <f t="shared" si="4"/>
        <v>0</v>
      </c>
      <c r="N238" s="3">
        <f t="shared" si="5"/>
        <v>0</v>
      </c>
      <c r="O238" s="3">
        <f t="shared" si="3"/>
        <v>0</v>
      </c>
      <c r="P238" s="4">
        <v>0.0</v>
      </c>
      <c r="Q238" s="5"/>
      <c r="R238" s="5"/>
    </row>
    <row r="239" ht="31.5" customHeight="1">
      <c r="G239" s="3"/>
      <c r="M239" s="3">
        <f t="shared" si="4"/>
        <v>0</v>
      </c>
      <c r="N239" s="3">
        <f t="shared" si="5"/>
        <v>0</v>
      </c>
      <c r="O239" s="3">
        <f t="shared" si="3"/>
        <v>0</v>
      </c>
      <c r="P239" s="4">
        <v>0.0</v>
      </c>
      <c r="Q239" s="5"/>
      <c r="R239" s="5"/>
    </row>
    <row r="240" ht="31.5" customHeight="1">
      <c r="G240" s="3"/>
      <c r="M240" s="3">
        <f t="shared" si="4"/>
        <v>0</v>
      </c>
      <c r="N240" s="3">
        <f t="shared" si="5"/>
        <v>0</v>
      </c>
      <c r="O240" s="3">
        <f t="shared" si="3"/>
        <v>0</v>
      </c>
      <c r="P240" s="4">
        <v>0.0</v>
      </c>
      <c r="Q240" s="5"/>
      <c r="R240" s="5"/>
    </row>
    <row r="241" ht="31.5" customHeight="1">
      <c r="G241" s="3"/>
      <c r="M241" s="3">
        <f t="shared" si="4"/>
        <v>0</v>
      </c>
      <c r="N241" s="3">
        <f t="shared" si="5"/>
        <v>0</v>
      </c>
      <c r="O241" s="3">
        <f t="shared" si="3"/>
        <v>0</v>
      </c>
      <c r="P241" s="4">
        <v>0.0</v>
      </c>
      <c r="Q241" s="5"/>
      <c r="R241" s="5"/>
    </row>
    <row r="242" ht="31.5" customHeight="1">
      <c r="G242" s="3"/>
      <c r="M242" s="3">
        <f t="shared" si="4"/>
        <v>0</v>
      </c>
      <c r="N242" s="3">
        <f t="shared" si="5"/>
        <v>0</v>
      </c>
      <c r="O242" s="3">
        <f t="shared" si="3"/>
        <v>0</v>
      </c>
      <c r="P242" s="4">
        <v>0.0</v>
      </c>
      <c r="Q242" s="5"/>
      <c r="R242" s="5"/>
    </row>
    <row r="243" ht="31.5" customHeight="1">
      <c r="G243" s="3"/>
      <c r="M243" s="3">
        <f t="shared" si="4"/>
        <v>0</v>
      </c>
      <c r="N243" s="3">
        <f t="shared" si="5"/>
        <v>0</v>
      </c>
      <c r="O243" s="3">
        <f t="shared" si="3"/>
        <v>0</v>
      </c>
      <c r="P243" s="4">
        <v>0.0</v>
      </c>
      <c r="Q243" s="5"/>
      <c r="R243" s="5"/>
    </row>
    <row r="244" ht="31.5" customHeight="1">
      <c r="G244" s="3"/>
      <c r="M244" s="3">
        <f t="shared" si="4"/>
        <v>0</v>
      </c>
      <c r="N244" s="3">
        <f t="shared" si="5"/>
        <v>0</v>
      </c>
      <c r="O244" s="3">
        <f t="shared" si="3"/>
        <v>0</v>
      </c>
      <c r="P244" s="4">
        <v>0.0</v>
      </c>
      <c r="Q244" s="5"/>
      <c r="R244" s="5"/>
    </row>
    <row r="245" ht="31.5" customHeight="1">
      <c r="G245" s="3"/>
      <c r="M245" s="3">
        <f t="shared" si="4"/>
        <v>0</v>
      </c>
      <c r="N245" s="3">
        <f t="shared" si="5"/>
        <v>0</v>
      </c>
      <c r="O245" s="3">
        <f t="shared" si="3"/>
        <v>0</v>
      </c>
      <c r="P245" s="4">
        <v>0.0</v>
      </c>
      <c r="Q245" s="5"/>
      <c r="R245" s="5"/>
    </row>
    <row r="246" ht="31.5" customHeight="1">
      <c r="G246" s="3"/>
      <c r="M246" s="3">
        <f t="shared" si="4"/>
        <v>0</v>
      </c>
      <c r="N246" s="3">
        <f t="shared" si="5"/>
        <v>0</v>
      </c>
      <c r="O246" s="3">
        <f t="shared" si="3"/>
        <v>0</v>
      </c>
      <c r="P246" s="4">
        <v>0.0</v>
      </c>
      <c r="Q246" s="5"/>
      <c r="R246" s="5"/>
    </row>
    <row r="247" ht="31.5" customHeight="1">
      <c r="G247" s="3"/>
      <c r="M247" s="3">
        <f t="shared" si="4"/>
        <v>0</v>
      </c>
      <c r="N247" s="3">
        <f t="shared" si="5"/>
        <v>0</v>
      </c>
      <c r="O247" s="3">
        <f t="shared" si="3"/>
        <v>0</v>
      </c>
      <c r="P247" s="4">
        <v>0.0</v>
      </c>
      <c r="Q247" s="5"/>
      <c r="R247" s="5"/>
    </row>
    <row r="248" ht="31.5" customHeight="1">
      <c r="G248" s="3"/>
      <c r="M248" s="3">
        <f t="shared" si="4"/>
        <v>0</v>
      </c>
      <c r="N248" s="3">
        <f t="shared" si="5"/>
        <v>0</v>
      </c>
      <c r="O248" s="3">
        <f t="shared" si="3"/>
        <v>0</v>
      </c>
      <c r="P248" s="4">
        <v>0.0</v>
      </c>
      <c r="Q248" s="5"/>
      <c r="R248" s="5"/>
    </row>
    <row r="249" ht="31.5" customHeight="1">
      <c r="G249" s="3"/>
      <c r="M249" s="3">
        <f t="shared" si="4"/>
        <v>0</v>
      </c>
      <c r="N249" s="3">
        <f t="shared" si="5"/>
        <v>0</v>
      </c>
      <c r="O249" s="3">
        <f t="shared" si="3"/>
        <v>0</v>
      </c>
      <c r="P249" s="4">
        <v>0.0</v>
      </c>
      <c r="Q249" s="5"/>
      <c r="R249" s="5"/>
    </row>
    <row r="250" ht="31.5" customHeight="1">
      <c r="G250" s="3"/>
      <c r="M250" s="3">
        <f t="shared" si="4"/>
        <v>0</v>
      </c>
      <c r="N250" s="3">
        <f t="shared" si="5"/>
        <v>0</v>
      </c>
      <c r="O250" s="3">
        <f t="shared" si="3"/>
        <v>0</v>
      </c>
      <c r="P250" s="4">
        <v>0.0</v>
      </c>
      <c r="Q250" s="5"/>
      <c r="R250" s="5"/>
    </row>
    <row r="251" ht="31.5" customHeight="1">
      <c r="G251" s="3"/>
      <c r="M251" s="3">
        <f t="shared" si="4"/>
        <v>0</v>
      </c>
      <c r="N251" s="3">
        <f t="shared" si="5"/>
        <v>0</v>
      </c>
      <c r="O251" s="3">
        <f t="shared" si="3"/>
        <v>0</v>
      </c>
      <c r="P251" s="4">
        <v>0.0</v>
      </c>
      <c r="Q251" s="5"/>
      <c r="R251" s="5"/>
    </row>
    <row r="252" ht="31.5" customHeight="1">
      <c r="G252" s="3"/>
      <c r="M252" s="3">
        <f t="shared" si="4"/>
        <v>0</v>
      </c>
      <c r="N252" s="3">
        <f t="shared" si="5"/>
        <v>0</v>
      </c>
      <c r="O252" s="3">
        <f t="shared" si="3"/>
        <v>0</v>
      </c>
      <c r="P252" s="4">
        <v>0.0</v>
      </c>
      <c r="Q252" s="5"/>
      <c r="R252" s="5"/>
    </row>
    <row r="253" ht="31.5" customHeight="1">
      <c r="G253" s="3"/>
      <c r="M253" s="3">
        <f t="shared" si="4"/>
        <v>0</v>
      </c>
      <c r="N253" s="3">
        <f t="shared" si="5"/>
        <v>0</v>
      </c>
      <c r="O253" s="3">
        <f t="shared" si="3"/>
        <v>0</v>
      </c>
      <c r="P253" s="4">
        <v>0.0</v>
      </c>
      <c r="Q253" s="5"/>
      <c r="R253" s="5"/>
    </row>
    <row r="254" ht="31.5" customHeight="1">
      <c r="G254" s="3"/>
      <c r="M254" s="3">
        <f t="shared" si="4"/>
        <v>0</v>
      </c>
      <c r="N254" s="3">
        <f t="shared" si="5"/>
        <v>0</v>
      </c>
      <c r="O254" s="3">
        <f t="shared" si="3"/>
        <v>0</v>
      </c>
      <c r="P254" s="4">
        <v>0.0</v>
      </c>
      <c r="Q254" s="5"/>
      <c r="R254" s="5"/>
    </row>
    <row r="255" ht="31.5" customHeight="1">
      <c r="G255" s="3"/>
      <c r="M255" s="3">
        <f t="shared" si="4"/>
        <v>0</v>
      </c>
      <c r="N255" s="3">
        <f t="shared" si="5"/>
        <v>0</v>
      </c>
      <c r="O255" s="3">
        <f t="shared" si="3"/>
        <v>0</v>
      </c>
      <c r="P255" s="4">
        <v>0.0</v>
      </c>
      <c r="Q255" s="5"/>
      <c r="R255" s="5"/>
    </row>
    <row r="256" ht="31.5" customHeight="1">
      <c r="G256" s="3"/>
      <c r="M256" s="3">
        <f t="shared" si="4"/>
        <v>0</v>
      </c>
      <c r="N256" s="3">
        <f t="shared" si="5"/>
        <v>0</v>
      </c>
      <c r="O256" s="3">
        <f t="shared" si="3"/>
        <v>0</v>
      </c>
      <c r="P256" s="4">
        <v>0.0</v>
      </c>
      <c r="Q256" s="5"/>
      <c r="R256" s="5"/>
    </row>
    <row r="257" ht="31.5" customHeight="1">
      <c r="G257" s="3"/>
      <c r="M257" s="3">
        <f t="shared" si="4"/>
        <v>0</v>
      </c>
      <c r="N257" s="3">
        <f t="shared" si="5"/>
        <v>0</v>
      </c>
      <c r="O257" s="3">
        <f t="shared" si="3"/>
        <v>0</v>
      </c>
      <c r="P257" s="4">
        <v>0.0</v>
      </c>
      <c r="Q257" s="5"/>
      <c r="R257" s="5"/>
    </row>
    <row r="258" ht="31.5" customHeight="1">
      <c r="G258" s="3"/>
      <c r="M258" s="3">
        <f t="shared" si="4"/>
        <v>0</v>
      </c>
      <c r="N258" s="3">
        <f t="shared" si="5"/>
        <v>0</v>
      </c>
      <c r="O258" s="3">
        <f t="shared" si="3"/>
        <v>0</v>
      </c>
      <c r="P258" s="4">
        <v>0.0</v>
      </c>
      <c r="Q258" s="5"/>
      <c r="R258" s="5"/>
    </row>
    <row r="259" ht="31.5" customHeight="1">
      <c r="G259" s="3"/>
      <c r="M259" s="3">
        <f t="shared" si="4"/>
        <v>0</v>
      </c>
      <c r="N259" s="3">
        <f t="shared" si="5"/>
        <v>0</v>
      </c>
      <c r="O259" s="3">
        <f t="shared" si="3"/>
        <v>0</v>
      </c>
      <c r="P259" s="4">
        <v>0.0</v>
      </c>
      <c r="Q259" s="5"/>
      <c r="R259" s="5"/>
    </row>
    <row r="260" ht="31.5" customHeight="1">
      <c r="G260" s="3"/>
      <c r="M260" s="3">
        <f t="shared" si="4"/>
        <v>0</v>
      </c>
      <c r="N260" s="3">
        <f t="shared" si="5"/>
        <v>0</v>
      </c>
      <c r="O260" s="3">
        <f t="shared" si="3"/>
        <v>0</v>
      </c>
      <c r="P260" s="4">
        <v>0.0</v>
      </c>
      <c r="Q260" s="5"/>
      <c r="R260" s="5"/>
    </row>
    <row r="261" ht="31.5" customHeight="1">
      <c r="G261" s="3"/>
      <c r="M261" s="3">
        <f t="shared" si="4"/>
        <v>0</v>
      </c>
      <c r="N261" s="3">
        <f t="shared" si="5"/>
        <v>0</v>
      </c>
      <c r="O261" s="3">
        <f t="shared" si="3"/>
        <v>0</v>
      </c>
      <c r="P261" s="4">
        <v>0.0</v>
      </c>
      <c r="Q261" s="5"/>
      <c r="R261" s="5"/>
    </row>
    <row r="262" ht="31.5" customHeight="1">
      <c r="G262" s="3"/>
      <c r="M262" s="3">
        <f t="shared" si="4"/>
        <v>0</v>
      </c>
      <c r="N262" s="3">
        <f t="shared" si="5"/>
        <v>0</v>
      </c>
      <c r="O262" s="3">
        <f t="shared" si="3"/>
        <v>0</v>
      </c>
      <c r="P262" s="4">
        <v>0.0</v>
      </c>
      <c r="Q262" s="5"/>
      <c r="R262" s="5"/>
    </row>
    <row r="263" ht="31.5" customHeight="1">
      <c r="G263" s="3"/>
      <c r="M263" s="3">
        <f t="shared" si="4"/>
        <v>0</v>
      </c>
      <c r="N263" s="3">
        <f t="shared" si="5"/>
        <v>0</v>
      </c>
      <c r="O263" s="3">
        <f t="shared" si="3"/>
        <v>0</v>
      </c>
      <c r="P263" s="4">
        <v>0.0</v>
      </c>
      <c r="Q263" s="5"/>
      <c r="R263" s="5"/>
    </row>
    <row r="264" ht="31.5" customHeight="1">
      <c r="G264" s="3"/>
      <c r="M264" s="3">
        <f t="shared" si="4"/>
        <v>0</v>
      </c>
      <c r="N264" s="3">
        <f t="shared" si="5"/>
        <v>0</v>
      </c>
      <c r="O264" s="3">
        <f t="shared" si="3"/>
        <v>0</v>
      </c>
      <c r="P264" s="4">
        <v>0.0</v>
      </c>
      <c r="Q264" s="5"/>
      <c r="R264" s="5"/>
    </row>
    <row r="265" ht="31.5" customHeight="1">
      <c r="G265" s="3"/>
      <c r="M265" s="3">
        <f t="shared" si="4"/>
        <v>0</v>
      </c>
      <c r="N265" s="3">
        <f t="shared" si="5"/>
        <v>0</v>
      </c>
      <c r="O265" s="3">
        <f t="shared" si="3"/>
        <v>0</v>
      </c>
      <c r="P265" s="4">
        <v>0.0</v>
      </c>
      <c r="Q265" s="5"/>
      <c r="R265" s="5"/>
    </row>
    <row r="266" ht="31.5" customHeight="1">
      <c r="G266" s="3"/>
      <c r="M266" s="3">
        <f t="shared" si="4"/>
        <v>0</v>
      </c>
      <c r="N266" s="3">
        <f t="shared" si="5"/>
        <v>0</v>
      </c>
      <c r="P266" s="4">
        <v>0.0</v>
      </c>
      <c r="Q266" s="5"/>
      <c r="R266" s="5"/>
    </row>
    <row r="267" ht="31.5" customHeight="1">
      <c r="G267" s="3"/>
      <c r="M267" s="3">
        <f t="shared" si="4"/>
        <v>0</v>
      </c>
      <c r="N267" s="3">
        <f t="shared" si="5"/>
        <v>0</v>
      </c>
      <c r="P267" s="4">
        <v>0.0</v>
      </c>
      <c r="Q267" s="5"/>
      <c r="R267" s="5"/>
    </row>
    <row r="268" ht="31.5" customHeight="1">
      <c r="G268" s="3"/>
      <c r="M268" s="3">
        <f t="shared" si="4"/>
        <v>0</v>
      </c>
      <c r="N268" s="3">
        <f t="shared" si="5"/>
        <v>0</v>
      </c>
      <c r="P268" s="4">
        <v>0.0</v>
      </c>
      <c r="Q268" s="5"/>
      <c r="R268" s="5"/>
    </row>
    <row r="269" ht="31.5" customHeight="1">
      <c r="G269" s="3"/>
      <c r="M269" s="3">
        <f t="shared" si="4"/>
        <v>0</v>
      </c>
      <c r="N269" s="3">
        <f t="shared" si="5"/>
        <v>0</v>
      </c>
      <c r="P269" s="4">
        <v>0.0</v>
      </c>
      <c r="Q269" s="5"/>
      <c r="R269" s="5"/>
    </row>
    <row r="270" ht="31.5" customHeight="1">
      <c r="G270" s="3"/>
      <c r="M270" s="3">
        <f t="shared" si="4"/>
        <v>0</v>
      </c>
      <c r="N270" s="3">
        <f t="shared" si="5"/>
        <v>0</v>
      </c>
      <c r="P270" s="4">
        <v>0.0</v>
      </c>
      <c r="Q270" s="5"/>
      <c r="R270" s="5"/>
    </row>
    <row r="271" ht="31.5" customHeight="1">
      <c r="G271" s="3"/>
      <c r="M271" s="3">
        <f t="shared" si="4"/>
        <v>0</v>
      </c>
      <c r="N271" s="3">
        <f t="shared" si="5"/>
        <v>0</v>
      </c>
      <c r="P271" s="4">
        <v>0.0</v>
      </c>
      <c r="Q271" s="5"/>
      <c r="R271" s="5"/>
    </row>
    <row r="272" ht="31.5" customHeight="1">
      <c r="G272" s="3"/>
      <c r="M272" s="3">
        <f t="shared" si="4"/>
        <v>0</v>
      </c>
      <c r="N272" s="3">
        <f t="shared" si="5"/>
        <v>0</v>
      </c>
      <c r="P272" s="4">
        <v>0.0</v>
      </c>
      <c r="Q272" s="5"/>
      <c r="R272" s="5"/>
    </row>
    <row r="273" ht="31.5" customHeight="1">
      <c r="G273" s="3"/>
      <c r="M273" s="3">
        <f t="shared" si="4"/>
        <v>0</v>
      </c>
      <c r="N273" s="3">
        <f t="shared" si="5"/>
        <v>0</v>
      </c>
      <c r="P273" s="4">
        <v>0.0</v>
      </c>
      <c r="Q273" s="5"/>
      <c r="R273" s="5"/>
    </row>
    <row r="274" ht="31.5" customHeight="1">
      <c r="G274" s="3"/>
      <c r="M274" s="3">
        <f t="shared" si="4"/>
        <v>0</v>
      </c>
      <c r="N274" s="3">
        <f t="shared" si="5"/>
        <v>0</v>
      </c>
      <c r="P274" s="4">
        <v>0.0</v>
      </c>
      <c r="Q274" s="5"/>
      <c r="R274" s="5"/>
    </row>
    <row r="275" ht="31.5" customHeight="1">
      <c r="G275" s="3"/>
      <c r="M275" s="3">
        <f t="shared" si="4"/>
        <v>0</v>
      </c>
      <c r="N275" s="3">
        <f t="shared" si="5"/>
        <v>0</v>
      </c>
      <c r="P275" s="4">
        <v>0.0</v>
      </c>
      <c r="Q275" s="5"/>
      <c r="R275" s="5"/>
    </row>
    <row r="276" ht="31.5" customHeight="1">
      <c r="G276" s="3"/>
      <c r="M276" s="3">
        <f t="shared" si="4"/>
        <v>0</v>
      </c>
      <c r="N276" s="3">
        <f t="shared" si="5"/>
        <v>0</v>
      </c>
      <c r="P276" s="4">
        <v>0.0</v>
      </c>
      <c r="Q276" s="5"/>
      <c r="R276" s="5"/>
    </row>
    <row r="277" ht="31.5" customHeight="1">
      <c r="G277" s="3"/>
      <c r="M277" s="3">
        <f t="shared" si="4"/>
        <v>0</v>
      </c>
      <c r="N277" s="3">
        <f t="shared" si="5"/>
        <v>0</v>
      </c>
      <c r="P277" s="4">
        <v>0.0</v>
      </c>
      <c r="Q277" s="5"/>
      <c r="R277" s="5"/>
    </row>
    <row r="278" ht="31.5" customHeight="1">
      <c r="G278" s="3"/>
      <c r="M278" s="3">
        <f t="shared" si="4"/>
        <v>0</v>
      </c>
      <c r="N278" s="3">
        <f t="shared" si="5"/>
        <v>0</v>
      </c>
      <c r="P278" s="4">
        <v>0.0</v>
      </c>
      <c r="Q278" s="5"/>
      <c r="R278" s="5"/>
    </row>
    <row r="279" ht="31.5" customHeight="1">
      <c r="G279" s="3"/>
      <c r="M279" s="3">
        <f t="shared" si="4"/>
        <v>0</v>
      </c>
      <c r="N279" s="3">
        <f t="shared" si="5"/>
        <v>0</v>
      </c>
      <c r="P279" s="4">
        <v>0.0</v>
      </c>
      <c r="Q279" s="5"/>
      <c r="R279" s="5"/>
    </row>
    <row r="280" ht="31.5" customHeight="1">
      <c r="G280" s="3"/>
      <c r="M280" s="3">
        <f t="shared" si="4"/>
        <v>0</v>
      </c>
      <c r="N280" s="3">
        <f t="shared" si="5"/>
        <v>0</v>
      </c>
      <c r="P280" s="4">
        <v>0.0</v>
      </c>
      <c r="Q280" s="5"/>
      <c r="R280" s="5"/>
    </row>
    <row r="281" ht="31.5" customHeight="1">
      <c r="G281" s="3"/>
      <c r="M281" s="3">
        <f t="shared" si="4"/>
        <v>0</v>
      </c>
      <c r="N281" s="3">
        <f t="shared" si="5"/>
        <v>0</v>
      </c>
      <c r="P281" s="4">
        <v>0.0</v>
      </c>
      <c r="Q281" s="5"/>
      <c r="R281" s="5"/>
    </row>
    <row r="282" ht="31.5" customHeight="1">
      <c r="G282" s="3"/>
      <c r="M282" s="3">
        <f t="shared" si="4"/>
        <v>0</v>
      </c>
      <c r="N282" s="3">
        <f t="shared" si="5"/>
        <v>0</v>
      </c>
      <c r="P282" s="4">
        <v>0.0</v>
      </c>
      <c r="Q282" s="5"/>
      <c r="R282" s="5"/>
    </row>
    <row r="283" ht="31.5" customHeight="1">
      <c r="G283" s="3"/>
      <c r="M283" s="3">
        <f t="shared" si="4"/>
        <v>0</v>
      </c>
      <c r="N283" s="3">
        <f t="shared" si="5"/>
        <v>0</v>
      </c>
      <c r="P283" s="4">
        <v>0.0</v>
      </c>
      <c r="Q283" s="5"/>
      <c r="R283" s="5"/>
    </row>
    <row r="284" ht="31.5" customHeight="1">
      <c r="G284" s="3"/>
      <c r="M284" s="3">
        <f t="shared" si="4"/>
        <v>0</v>
      </c>
      <c r="N284" s="3">
        <f t="shared" si="5"/>
        <v>0</v>
      </c>
      <c r="P284" s="4">
        <v>0.0</v>
      </c>
      <c r="Q284" s="5"/>
      <c r="R284" s="5"/>
    </row>
    <row r="285" ht="31.5" customHeight="1">
      <c r="G285" s="3"/>
      <c r="M285" s="3">
        <f t="shared" si="4"/>
        <v>0</v>
      </c>
      <c r="N285" s="3">
        <f t="shared" si="5"/>
        <v>0</v>
      </c>
      <c r="P285" s="4">
        <v>0.0</v>
      </c>
      <c r="Q285" s="5"/>
      <c r="R285" s="5"/>
    </row>
    <row r="286" ht="31.5" customHeight="1">
      <c r="G286" s="3"/>
      <c r="M286" s="3">
        <f t="shared" si="4"/>
        <v>0</v>
      </c>
      <c r="N286" s="3">
        <f t="shared" si="5"/>
        <v>0</v>
      </c>
      <c r="P286" s="4">
        <v>0.0</v>
      </c>
      <c r="Q286" s="5"/>
      <c r="R286" s="5"/>
    </row>
    <row r="287" ht="31.5" customHeight="1">
      <c r="G287" s="3"/>
      <c r="M287" s="3">
        <f t="shared" si="4"/>
        <v>0</v>
      </c>
      <c r="N287" s="3">
        <f t="shared" si="5"/>
        <v>0</v>
      </c>
      <c r="P287" s="4">
        <v>0.0</v>
      </c>
      <c r="Q287" s="5"/>
      <c r="R287" s="5"/>
    </row>
    <row r="288" ht="31.5" customHeight="1">
      <c r="G288" s="3"/>
      <c r="M288" s="3">
        <f t="shared" si="4"/>
        <v>0</v>
      </c>
      <c r="N288" s="3">
        <f t="shared" si="5"/>
        <v>0</v>
      </c>
      <c r="P288" s="4">
        <v>0.0</v>
      </c>
      <c r="Q288" s="5"/>
      <c r="R288" s="5"/>
    </row>
    <row r="289" ht="31.5" customHeight="1">
      <c r="G289" s="3"/>
      <c r="M289" s="3">
        <f t="shared" si="4"/>
        <v>0</v>
      </c>
      <c r="N289" s="3">
        <f t="shared" si="5"/>
        <v>0</v>
      </c>
      <c r="P289" s="4">
        <v>0.0</v>
      </c>
      <c r="Q289" s="5"/>
      <c r="R289" s="5"/>
    </row>
    <row r="290" ht="31.5" customHeight="1">
      <c r="G290" s="3"/>
      <c r="M290" s="3">
        <f t="shared" si="4"/>
        <v>0</v>
      </c>
      <c r="N290" s="3">
        <f t="shared" si="5"/>
        <v>0</v>
      </c>
      <c r="P290" s="4">
        <v>0.0</v>
      </c>
      <c r="Q290" s="5"/>
      <c r="R290" s="5"/>
    </row>
    <row r="291" ht="31.5" customHeight="1">
      <c r="G291" s="3"/>
      <c r="M291" s="3">
        <f t="shared" si="4"/>
        <v>0</v>
      </c>
      <c r="N291" s="3">
        <f t="shared" si="5"/>
        <v>0</v>
      </c>
      <c r="P291" s="4">
        <v>0.0</v>
      </c>
      <c r="Q291" s="5"/>
      <c r="R291" s="5"/>
    </row>
    <row r="292" ht="31.5" customHeight="1">
      <c r="G292" s="3"/>
      <c r="N292" s="3">
        <f t="shared" si="5"/>
        <v>0</v>
      </c>
      <c r="P292" s="4">
        <v>0.0</v>
      </c>
      <c r="Q292" s="5"/>
      <c r="R292" s="5"/>
    </row>
    <row r="293" ht="31.5" customHeight="1">
      <c r="G293" s="3"/>
      <c r="N293" s="3">
        <f t="shared" si="5"/>
        <v>0</v>
      </c>
      <c r="P293" s="4">
        <v>0.0</v>
      </c>
      <c r="Q293" s="5"/>
      <c r="R293" s="5"/>
    </row>
    <row r="294" ht="31.5" customHeight="1">
      <c r="G294" s="3"/>
      <c r="N294" s="3">
        <f t="shared" si="5"/>
        <v>0</v>
      </c>
      <c r="P294" s="4">
        <v>0.0</v>
      </c>
      <c r="Q294" s="5"/>
      <c r="R294" s="5"/>
    </row>
    <row r="295" ht="31.5" customHeight="1">
      <c r="G295" s="3"/>
      <c r="N295" s="3">
        <f t="shared" si="5"/>
        <v>0</v>
      </c>
      <c r="P295" s="4">
        <v>0.0</v>
      </c>
      <c r="Q295" s="5"/>
      <c r="R295" s="5"/>
    </row>
    <row r="296" ht="31.5" customHeight="1">
      <c r="G296" s="3"/>
      <c r="N296" s="3">
        <f t="shared" si="5"/>
        <v>0</v>
      </c>
      <c r="P296" s="4">
        <v>0.0</v>
      </c>
      <c r="Q296" s="5"/>
      <c r="R296" s="5"/>
    </row>
    <row r="297" ht="31.5" customHeight="1">
      <c r="G297" s="3"/>
      <c r="N297" s="3">
        <f t="shared" si="5"/>
        <v>0</v>
      </c>
      <c r="P297" s="4">
        <v>0.0</v>
      </c>
      <c r="Q297" s="5"/>
      <c r="R297" s="5"/>
    </row>
    <row r="298" ht="31.5" customHeight="1">
      <c r="G298" s="3"/>
      <c r="N298" s="3">
        <f t="shared" si="5"/>
        <v>0</v>
      </c>
      <c r="P298" s="4">
        <v>0.0</v>
      </c>
      <c r="Q298" s="5"/>
      <c r="R298" s="5"/>
    </row>
    <row r="299" ht="31.5" customHeight="1">
      <c r="G299" s="3"/>
      <c r="N299" s="3">
        <f t="shared" si="5"/>
        <v>0</v>
      </c>
      <c r="P299" s="4">
        <v>0.0</v>
      </c>
      <c r="Q299" s="5"/>
      <c r="R299" s="5"/>
    </row>
    <row r="300" ht="31.5" customHeight="1">
      <c r="G300" s="3"/>
      <c r="N300" s="3">
        <f t="shared" si="5"/>
        <v>0</v>
      </c>
      <c r="P300" s="4">
        <v>0.0</v>
      </c>
      <c r="Q300" s="5"/>
      <c r="R300" s="5"/>
    </row>
    <row r="301" ht="31.5" customHeight="1">
      <c r="G301" s="3"/>
      <c r="N301" s="3">
        <f t="shared" si="5"/>
        <v>0</v>
      </c>
      <c r="P301" s="4">
        <v>0.0</v>
      </c>
      <c r="Q301" s="5"/>
      <c r="R301" s="5"/>
    </row>
    <row r="302" ht="31.5" customHeight="1">
      <c r="G302" s="3"/>
      <c r="N302" s="3">
        <f t="shared" si="5"/>
        <v>0</v>
      </c>
      <c r="P302" s="4">
        <v>0.0</v>
      </c>
      <c r="Q302" s="5"/>
      <c r="R302" s="5"/>
    </row>
    <row r="303" ht="31.5" customHeight="1">
      <c r="G303" s="3"/>
      <c r="N303" s="3">
        <f t="shared" si="5"/>
        <v>0</v>
      </c>
      <c r="P303" s="4">
        <v>0.0</v>
      </c>
      <c r="Q303" s="5"/>
      <c r="R303" s="5"/>
    </row>
    <row r="304" ht="31.5" customHeight="1">
      <c r="G304" s="3"/>
      <c r="N304" s="3">
        <f t="shared" si="5"/>
        <v>0</v>
      </c>
      <c r="P304" s="4">
        <v>0.0</v>
      </c>
      <c r="Q304" s="5"/>
      <c r="R304" s="5"/>
    </row>
    <row r="305" ht="31.5" customHeight="1">
      <c r="G305" s="3"/>
      <c r="N305" s="3">
        <f t="shared" si="5"/>
        <v>0</v>
      </c>
      <c r="P305" s="4">
        <v>0.0</v>
      </c>
      <c r="Q305" s="5"/>
      <c r="R305" s="5"/>
    </row>
    <row r="306" ht="31.5" customHeight="1">
      <c r="G306" s="3"/>
      <c r="N306" s="3">
        <f t="shared" si="5"/>
        <v>0</v>
      </c>
      <c r="P306" s="4">
        <v>0.0</v>
      </c>
      <c r="Q306" s="5"/>
      <c r="R306" s="5"/>
    </row>
    <row r="307" ht="31.5" customHeight="1">
      <c r="G307" s="3"/>
      <c r="N307" s="3">
        <f t="shared" si="5"/>
        <v>0</v>
      </c>
      <c r="P307" s="4">
        <v>0.0</v>
      </c>
      <c r="Q307" s="5"/>
      <c r="R307" s="5"/>
    </row>
    <row r="308" ht="31.5" customHeight="1">
      <c r="G308" s="3"/>
      <c r="N308" s="3">
        <f t="shared" si="5"/>
        <v>0</v>
      </c>
      <c r="P308" s="4">
        <v>0.0</v>
      </c>
      <c r="Q308" s="5"/>
      <c r="R308" s="5"/>
    </row>
    <row r="309" ht="31.5" customHeight="1">
      <c r="G309" s="3"/>
      <c r="N309" s="3">
        <f t="shared" si="5"/>
        <v>0</v>
      </c>
      <c r="P309" s="4">
        <v>0.0</v>
      </c>
      <c r="Q309" s="5"/>
      <c r="R309" s="5"/>
    </row>
    <row r="310" ht="31.5" customHeight="1">
      <c r="G310" s="3"/>
      <c r="N310" s="3">
        <f t="shared" si="5"/>
        <v>0</v>
      </c>
      <c r="P310" s="4">
        <v>0.0</v>
      </c>
      <c r="Q310" s="5"/>
      <c r="R310" s="5"/>
    </row>
    <row r="311" ht="31.5" customHeight="1">
      <c r="G311" s="3"/>
      <c r="N311" s="3">
        <f t="shared" si="5"/>
        <v>0</v>
      </c>
      <c r="P311" s="4">
        <v>0.0</v>
      </c>
      <c r="Q311" s="5"/>
      <c r="R311" s="5"/>
    </row>
    <row r="312" ht="31.5" customHeight="1">
      <c r="G312" s="3"/>
      <c r="N312" s="3">
        <f t="shared" si="5"/>
        <v>0</v>
      </c>
      <c r="P312" s="4">
        <v>0.0</v>
      </c>
      <c r="Q312" s="5"/>
      <c r="R312" s="5"/>
    </row>
    <row r="313" ht="31.5" customHeight="1">
      <c r="G313" s="3"/>
      <c r="N313" s="3">
        <f t="shared" si="5"/>
        <v>0</v>
      </c>
      <c r="P313" s="4">
        <v>0.0</v>
      </c>
      <c r="Q313" s="5"/>
      <c r="R313" s="5"/>
    </row>
    <row r="314" ht="31.5" customHeight="1">
      <c r="G314" s="3"/>
      <c r="N314" s="3">
        <f t="shared" si="5"/>
        <v>0</v>
      </c>
      <c r="P314" s="4">
        <v>0.0</v>
      </c>
      <c r="Q314" s="5"/>
      <c r="R314" s="5"/>
    </row>
    <row r="315" ht="31.5" customHeight="1">
      <c r="G315" s="3"/>
      <c r="N315" s="3">
        <f t="shared" si="5"/>
        <v>0</v>
      </c>
      <c r="P315" s="4">
        <v>0.0</v>
      </c>
      <c r="Q315" s="5"/>
      <c r="R315" s="5"/>
    </row>
    <row r="316" ht="31.5" customHeight="1">
      <c r="G316" s="3"/>
      <c r="N316" s="3">
        <f t="shared" si="5"/>
        <v>0</v>
      </c>
      <c r="P316" s="4">
        <v>0.0</v>
      </c>
      <c r="Q316" s="5"/>
      <c r="R316" s="5"/>
    </row>
    <row r="317" ht="31.5" customHeight="1">
      <c r="G317" s="3"/>
      <c r="N317" s="3">
        <f t="shared" si="5"/>
        <v>0</v>
      </c>
      <c r="P317" s="4">
        <v>0.0</v>
      </c>
      <c r="Q317" s="5"/>
      <c r="R317" s="5"/>
    </row>
    <row r="318" ht="31.5" customHeight="1">
      <c r="G318" s="3"/>
      <c r="N318" s="3">
        <f t="shared" si="5"/>
        <v>0</v>
      </c>
      <c r="P318" s="4">
        <v>0.0</v>
      </c>
      <c r="Q318" s="5"/>
      <c r="R318" s="5"/>
    </row>
    <row r="319" ht="31.5" customHeight="1">
      <c r="G319" s="3"/>
      <c r="N319" s="3">
        <f t="shared" si="5"/>
        <v>0</v>
      </c>
      <c r="P319" s="4">
        <v>0.0</v>
      </c>
      <c r="Q319" s="5"/>
      <c r="R319" s="5"/>
    </row>
    <row r="320" ht="31.5" customHeight="1">
      <c r="G320" s="3"/>
      <c r="N320" s="3">
        <f t="shared" si="5"/>
        <v>0</v>
      </c>
      <c r="P320" s="4">
        <v>0.0</v>
      </c>
      <c r="Q320" s="5"/>
      <c r="R320" s="5"/>
    </row>
    <row r="321" ht="31.5" customHeight="1">
      <c r="G321" s="3"/>
      <c r="N321" s="3">
        <f t="shared" si="5"/>
        <v>0</v>
      </c>
      <c r="P321" s="4">
        <v>0.0</v>
      </c>
      <c r="Q321" s="5"/>
      <c r="R321" s="5"/>
    </row>
    <row r="322" ht="31.5" customHeight="1">
      <c r="G322" s="3"/>
      <c r="N322" s="3">
        <f t="shared" si="5"/>
        <v>0</v>
      </c>
      <c r="P322" s="4">
        <v>0.0</v>
      </c>
      <c r="Q322" s="5"/>
      <c r="R322" s="5"/>
    </row>
    <row r="323" ht="31.5" customHeight="1">
      <c r="G323" s="3"/>
      <c r="N323" s="3">
        <f t="shared" si="5"/>
        <v>0</v>
      </c>
      <c r="P323" s="4">
        <v>0.0</v>
      </c>
      <c r="Q323" s="5"/>
      <c r="R323" s="5"/>
    </row>
    <row r="324" ht="31.5" customHeight="1">
      <c r="G324" s="3"/>
      <c r="N324" s="3">
        <f t="shared" si="5"/>
        <v>0</v>
      </c>
      <c r="P324" s="4">
        <v>0.0</v>
      </c>
      <c r="Q324" s="5"/>
      <c r="R324" s="5"/>
    </row>
    <row r="325" ht="31.5" customHeight="1">
      <c r="G325" s="3"/>
      <c r="N325" s="3">
        <f t="shared" si="5"/>
        <v>0</v>
      </c>
      <c r="P325" s="4">
        <v>0.0</v>
      </c>
      <c r="Q325" s="5"/>
      <c r="R325" s="5"/>
    </row>
    <row r="326" ht="31.5" customHeight="1">
      <c r="G326" s="3"/>
      <c r="N326" s="3">
        <f t="shared" si="5"/>
        <v>0</v>
      </c>
      <c r="P326" s="4">
        <v>0.0</v>
      </c>
      <c r="Q326" s="5"/>
      <c r="R326" s="5"/>
    </row>
    <row r="327" ht="31.5" customHeight="1">
      <c r="G327" s="3"/>
      <c r="N327" s="3">
        <f t="shared" si="5"/>
        <v>0</v>
      </c>
      <c r="P327" s="4">
        <v>0.0</v>
      </c>
      <c r="Q327" s="5"/>
      <c r="R327" s="5"/>
    </row>
    <row r="328" ht="31.5" customHeight="1">
      <c r="G328" s="3"/>
      <c r="N328" s="3">
        <f t="shared" si="5"/>
        <v>0</v>
      </c>
      <c r="P328" s="4">
        <v>0.0</v>
      </c>
      <c r="Q328" s="5"/>
      <c r="R328" s="5"/>
    </row>
    <row r="329" ht="31.5" customHeight="1">
      <c r="G329" s="3"/>
      <c r="N329" s="3">
        <f t="shared" si="5"/>
        <v>0</v>
      </c>
      <c r="P329" s="4">
        <v>0.0</v>
      </c>
      <c r="Q329" s="5"/>
      <c r="R329" s="5"/>
    </row>
    <row r="330" ht="31.5" customHeight="1">
      <c r="G330" s="3"/>
      <c r="N330" s="3">
        <f t="shared" si="5"/>
        <v>0</v>
      </c>
      <c r="P330" s="4">
        <v>0.0</v>
      </c>
      <c r="Q330" s="5"/>
      <c r="R330" s="5"/>
    </row>
    <row r="331" ht="31.5" customHeight="1">
      <c r="G331" s="3"/>
      <c r="N331" s="3">
        <f t="shared" si="5"/>
        <v>0</v>
      </c>
      <c r="P331" s="4">
        <v>0.0</v>
      </c>
      <c r="Q331" s="5"/>
      <c r="R331" s="5"/>
    </row>
    <row r="332" ht="31.5" customHeight="1">
      <c r="G332" s="3"/>
      <c r="N332" s="3">
        <f t="shared" si="5"/>
        <v>0</v>
      </c>
      <c r="P332" s="4">
        <v>0.0</v>
      </c>
      <c r="Q332" s="5"/>
      <c r="R332" s="5"/>
    </row>
    <row r="333" ht="31.5" customHeight="1">
      <c r="G333" s="3"/>
      <c r="N333" s="3">
        <f t="shared" si="5"/>
        <v>0</v>
      </c>
      <c r="P333" s="4">
        <v>0.0</v>
      </c>
      <c r="Q333" s="5"/>
      <c r="R333" s="5"/>
    </row>
    <row r="334" ht="31.5" customHeight="1">
      <c r="G334" s="3"/>
      <c r="N334" s="3">
        <f t="shared" si="5"/>
        <v>0</v>
      </c>
      <c r="P334" s="4">
        <v>0.0</v>
      </c>
      <c r="Q334" s="5"/>
      <c r="R334" s="5"/>
    </row>
    <row r="335" ht="31.5" customHeight="1">
      <c r="G335" s="3"/>
      <c r="N335" s="3">
        <f t="shared" si="5"/>
        <v>0</v>
      </c>
      <c r="P335" s="4">
        <v>0.0</v>
      </c>
      <c r="Q335" s="5"/>
      <c r="R335" s="5"/>
    </row>
    <row r="336" ht="31.5" customHeight="1">
      <c r="G336" s="3"/>
      <c r="N336" s="3">
        <f t="shared" si="5"/>
        <v>0</v>
      </c>
      <c r="P336" s="4">
        <v>0.0</v>
      </c>
      <c r="Q336" s="5"/>
      <c r="R336" s="5"/>
    </row>
    <row r="337" ht="31.5" customHeight="1">
      <c r="G337" s="3"/>
      <c r="N337" s="3">
        <f t="shared" si="5"/>
        <v>0</v>
      </c>
      <c r="P337" s="4">
        <v>0.0</v>
      </c>
      <c r="Q337" s="5"/>
      <c r="R337" s="5"/>
    </row>
    <row r="338" ht="31.5" customHeight="1">
      <c r="G338" s="3"/>
      <c r="N338" s="3">
        <f t="shared" si="5"/>
        <v>0</v>
      </c>
      <c r="P338" s="4">
        <v>0.0</v>
      </c>
      <c r="Q338" s="5"/>
      <c r="R338" s="5"/>
    </row>
    <row r="339" ht="31.5" customHeight="1">
      <c r="G339" s="3"/>
      <c r="N339" s="3">
        <f t="shared" si="5"/>
        <v>0</v>
      </c>
      <c r="P339" s="4">
        <v>0.0</v>
      </c>
      <c r="Q339" s="5"/>
      <c r="R339" s="5"/>
    </row>
    <row r="340" ht="31.5" customHeight="1">
      <c r="G340" s="3"/>
      <c r="N340" s="3">
        <f t="shared" si="5"/>
        <v>0</v>
      </c>
      <c r="P340" s="4">
        <v>0.0</v>
      </c>
      <c r="Q340" s="5"/>
      <c r="R340" s="5"/>
    </row>
    <row r="341" ht="31.5" customHeight="1">
      <c r="G341" s="3"/>
      <c r="N341" s="3">
        <f t="shared" si="5"/>
        <v>0</v>
      </c>
      <c r="P341" s="4">
        <v>0.0</v>
      </c>
      <c r="Q341" s="5"/>
      <c r="R341" s="5"/>
    </row>
    <row r="342" ht="31.5" customHeight="1">
      <c r="G342" s="3"/>
      <c r="N342" s="3">
        <f t="shared" si="5"/>
        <v>0</v>
      </c>
      <c r="P342" s="4">
        <v>0.0</v>
      </c>
      <c r="Q342" s="5"/>
      <c r="R342" s="5"/>
    </row>
    <row r="343" ht="31.5" customHeight="1">
      <c r="G343" s="3"/>
      <c r="N343" s="3">
        <f t="shared" si="5"/>
        <v>0</v>
      </c>
      <c r="P343" s="4">
        <v>0.0</v>
      </c>
      <c r="Q343" s="5"/>
      <c r="R343" s="5"/>
    </row>
    <row r="344" ht="31.5" customHeight="1">
      <c r="G344" s="3"/>
      <c r="N344" s="3">
        <f t="shared" si="5"/>
        <v>0</v>
      </c>
      <c r="P344" s="4">
        <v>0.0</v>
      </c>
      <c r="Q344" s="5"/>
      <c r="R344" s="5"/>
    </row>
    <row r="345" ht="31.5" customHeight="1">
      <c r="G345" s="3"/>
      <c r="N345" s="3">
        <f t="shared" si="5"/>
        <v>0</v>
      </c>
      <c r="P345" s="4">
        <v>0.0</v>
      </c>
      <c r="Q345" s="5"/>
      <c r="R345" s="5"/>
    </row>
    <row r="346" ht="31.5" customHeight="1">
      <c r="G346" s="3"/>
      <c r="N346" s="3">
        <f t="shared" si="5"/>
        <v>0</v>
      </c>
      <c r="P346" s="4">
        <v>0.0</v>
      </c>
      <c r="Q346" s="5"/>
      <c r="R346" s="5"/>
    </row>
    <row r="347" ht="31.5" customHeight="1">
      <c r="G347" s="3"/>
      <c r="N347" s="3">
        <f t="shared" si="5"/>
        <v>0</v>
      </c>
      <c r="P347" s="4">
        <v>0.0</v>
      </c>
      <c r="Q347" s="5"/>
      <c r="R347" s="5"/>
    </row>
    <row r="348" ht="31.5" customHeight="1">
      <c r="G348" s="3"/>
      <c r="N348" s="3">
        <f t="shared" si="5"/>
        <v>0</v>
      </c>
      <c r="P348" s="4">
        <v>0.0</v>
      </c>
      <c r="Q348" s="5"/>
      <c r="R348" s="5"/>
    </row>
    <row r="349" ht="31.5" customHeight="1">
      <c r="G349" s="3"/>
      <c r="N349" s="3">
        <f t="shared" si="5"/>
        <v>0</v>
      </c>
      <c r="P349" s="4">
        <v>0.0</v>
      </c>
      <c r="Q349" s="5"/>
      <c r="R349" s="5"/>
    </row>
    <row r="350" ht="31.5" customHeight="1">
      <c r="G350" s="3"/>
      <c r="N350" s="3">
        <f t="shared" si="5"/>
        <v>0</v>
      </c>
      <c r="P350" s="4">
        <v>0.0</v>
      </c>
      <c r="Q350" s="5"/>
      <c r="R350" s="5"/>
    </row>
    <row r="351" ht="31.5" customHeight="1">
      <c r="G351" s="3"/>
      <c r="N351" s="3">
        <f t="shared" si="5"/>
        <v>0</v>
      </c>
      <c r="P351" s="4">
        <v>0.0</v>
      </c>
      <c r="Q351" s="5"/>
      <c r="R351" s="5"/>
    </row>
    <row r="352" ht="31.5" customHeight="1">
      <c r="G352" s="3"/>
      <c r="N352" s="3">
        <f t="shared" si="5"/>
        <v>0</v>
      </c>
      <c r="P352" s="4">
        <v>0.0</v>
      </c>
      <c r="Q352" s="5"/>
      <c r="R352" s="5"/>
    </row>
    <row r="353" ht="31.5" customHeight="1">
      <c r="G353" s="3"/>
      <c r="N353" s="3">
        <f t="shared" si="5"/>
        <v>0</v>
      </c>
      <c r="P353" s="4">
        <v>0.0</v>
      </c>
      <c r="Q353" s="5"/>
      <c r="R353" s="5"/>
    </row>
    <row r="354" ht="31.5" customHeight="1">
      <c r="G354" s="3"/>
      <c r="N354" s="3">
        <f t="shared" si="5"/>
        <v>0</v>
      </c>
      <c r="P354" s="4">
        <v>0.0</v>
      </c>
      <c r="Q354" s="5"/>
      <c r="R354" s="5"/>
    </row>
    <row r="355" ht="31.5" customHeight="1">
      <c r="G355" s="3"/>
      <c r="N355" s="3">
        <f t="shared" si="5"/>
        <v>0</v>
      </c>
      <c r="P355" s="4">
        <v>0.0</v>
      </c>
      <c r="Q355" s="5"/>
      <c r="R355" s="5"/>
    </row>
    <row r="356" ht="31.5" customHeight="1">
      <c r="G356" s="3"/>
      <c r="N356" s="3">
        <f t="shared" si="5"/>
        <v>0</v>
      </c>
      <c r="P356" s="4">
        <v>0.0</v>
      </c>
      <c r="Q356" s="5"/>
      <c r="R356" s="5"/>
    </row>
    <row r="357" ht="31.5" customHeight="1">
      <c r="G357" s="3"/>
      <c r="N357" s="3">
        <f t="shared" si="5"/>
        <v>0</v>
      </c>
      <c r="P357" s="4">
        <v>0.0</v>
      </c>
      <c r="Q357" s="5"/>
      <c r="R357" s="5"/>
    </row>
    <row r="358" ht="31.5" customHeight="1">
      <c r="G358" s="3"/>
      <c r="N358" s="3">
        <f t="shared" si="5"/>
        <v>0</v>
      </c>
      <c r="P358" s="4">
        <v>0.0</v>
      </c>
      <c r="Q358" s="5"/>
      <c r="R358" s="5"/>
    </row>
    <row r="359" ht="31.5" customHeight="1">
      <c r="G359" s="3"/>
      <c r="N359" s="3">
        <f t="shared" si="5"/>
        <v>0</v>
      </c>
      <c r="P359" s="4">
        <v>0.0</v>
      </c>
      <c r="Q359" s="5"/>
      <c r="R359" s="5"/>
    </row>
    <row r="360" ht="31.5" customHeight="1">
      <c r="G360" s="3"/>
      <c r="N360" s="3">
        <f t="shared" si="5"/>
        <v>0</v>
      </c>
      <c r="P360" s="4">
        <v>0.0</v>
      </c>
      <c r="Q360" s="5"/>
      <c r="R360" s="5"/>
    </row>
    <row r="361" ht="31.5" customHeight="1">
      <c r="G361" s="3"/>
      <c r="N361" s="3">
        <f t="shared" si="5"/>
        <v>0</v>
      </c>
      <c r="P361" s="4">
        <v>0.0</v>
      </c>
      <c r="Q361" s="5"/>
      <c r="R361" s="5"/>
    </row>
    <row r="362" ht="31.5" customHeight="1">
      <c r="G362" s="3"/>
      <c r="N362" s="3">
        <f t="shared" si="5"/>
        <v>0</v>
      </c>
      <c r="P362" s="4">
        <v>0.0</v>
      </c>
      <c r="Q362" s="5"/>
      <c r="R362" s="5"/>
    </row>
    <row r="363" ht="31.5" customHeight="1">
      <c r="G363" s="3"/>
      <c r="N363" s="3">
        <f t="shared" si="5"/>
        <v>0</v>
      </c>
      <c r="P363" s="4">
        <v>0.0</v>
      </c>
      <c r="Q363" s="5"/>
      <c r="R363" s="5"/>
    </row>
    <row r="364" ht="31.5" customHeight="1">
      <c r="G364" s="3"/>
      <c r="N364" s="3">
        <f t="shared" si="5"/>
        <v>0</v>
      </c>
      <c r="P364" s="4">
        <v>0.0</v>
      </c>
      <c r="Q364" s="5"/>
      <c r="R364" s="5"/>
    </row>
    <row r="365" ht="31.5" customHeight="1">
      <c r="G365" s="3"/>
      <c r="N365" s="3">
        <f t="shared" si="5"/>
        <v>0</v>
      </c>
      <c r="P365" s="4">
        <v>0.0</v>
      </c>
      <c r="Q365" s="5"/>
      <c r="R365" s="5"/>
    </row>
    <row r="366" ht="31.5" customHeight="1">
      <c r="G366" s="3"/>
      <c r="N366" s="3">
        <f t="shared" si="5"/>
        <v>0</v>
      </c>
      <c r="P366" s="4">
        <v>0.0</v>
      </c>
      <c r="Q366" s="5"/>
      <c r="R366" s="5"/>
    </row>
    <row r="367" ht="31.5" customHeight="1">
      <c r="G367" s="3"/>
      <c r="N367" s="3">
        <f t="shared" si="5"/>
        <v>0</v>
      </c>
      <c r="P367" s="4">
        <v>0.0</v>
      </c>
      <c r="Q367" s="5"/>
      <c r="R367" s="5"/>
    </row>
    <row r="368" ht="31.5" customHeight="1">
      <c r="G368" s="3"/>
      <c r="N368" s="3">
        <f t="shared" si="5"/>
        <v>0</v>
      </c>
      <c r="P368" s="4">
        <v>0.0</v>
      </c>
      <c r="Q368" s="5"/>
      <c r="R368" s="5"/>
    </row>
    <row r="369" ht="31.5" customHeight="1">
      <c r="G369" s="3"/>
      <c r="N369" s="3">
        <f t="shared" si="5"/>
        <v>0</v>
      </c>
      <c r="P369" s="4">
        <v>0.0</v>
      </c>
      <c r="Q369" s="5"/>
      <c r="R369" s="5"/>
    </row>
    <row r="370" ht="31.5" customHeight="1">
      <c r="G370" s="3"/>
      <c r="N370" s="3">
        <f t="shared" si="5"/>
        <v>0</v>
      </c>
      <c r="P370" s="4">
        <v>0.0</v>
      </c>
      <c r="Q370" s="5"/>
      <c r="R370" s="5"/>
    </row>
    <row r="371" ht="31.5" customHeight="1">
      <c r="G371" s="3"/>
      <c r="N371" s="3">
        <f t="shared" si="5"/>
        <v>0</v>
      </c>
      <c r="P371" s="4">
        <v>0.0</v>
      </c>
      <c r="Q371" s="5"/>
      <c r="R371" s="5"/>
    </row>
    <row r="372" ht="31.5" customHeight="1">
      <c r="G372" s="3"/>
      <c r="N372" s="3">
        <f t="shared" si="5"/>
        <v>0</v>
      </c>
      <c r="P372" s="4">
        <v>0.0</v>
      </c>
      <c r="Q372" s="5"/>
      <c r="R372" s="5"/>
    </row>
    <row r="373" ht="31.5" customHeight="1">
      <c r="G373" s="3"/>
      <c r="N373" s="3">
        <f t="shared" si="5"/>
        <v>0</v>
      </c>
      <c r="P373" s="4">
        <v>0.0</v>
      </c>
      <c r="Q373" s="5"/>
      <c r="R373" s="5"/>
    </row>
    <row r="374" ht="31.5" customHeight="1">
      <c r="G374" s="3"/>
      <c r="N374" s="3">
        <f t="shared" si="5"/>
        <v>0</v>
      </c>
      <c r="P374" s="4">
        <v>0.0</v>
      </c>
      <c r="Q374" s="5"/>
      <c r="R374" s="5"/>
    </row>
    <row r="375" ht="31.5" customHeight="1">
      <c r="G375" s="3"/>
      <c r="N375" s="3">
        <f t="shared" si="5"/>
        <v>0</v>
      </c>
      <c r="P375" s="4">
        <v>0.0</v>
      </c>
      <c r="Q375" s="5"/>
      <c r="R375" s="5"/>
    </row>
    <row r="376" ht="31.5" customHeight="1">
      <c r="G376" s="3"/>
      <c r="N376" s="3">
        <f t="shared" si="5"/>
        <v>0</v>
      </c>
      <c r="P376" s="4">
        <v>0.0</v>
      </c>
      <c r="Q376" s="5"/>
      <c r="R376" s="5"/>
    </row>
    <row r="377" ht="31.5" customHeight="1">
      <c r="G377" s="3"/>
      <c r="N377" s="3">
        <f t="shared" si="5"/>
        <v>0</v>
      </c>
      <c r="P377" s="4">
        <v>0.0</v>
      </c>
      <c r="Q377" s="5"/>
      <c r="R377" s="5"/>
    </row>
    <row r="378" ht="31.5" customHeight="1">
      <c r="G378" s="3"/>
      <c r="N378" s="3">
        <f t="shared" si="5"/>
        <v>0</v>
      </c>
      <c r="P378" s="4">
        <v>0.0</v>
      </c>
      <c r="Q378" s="5"/>
      <c r="R378" s="5"/>
    </row>
    <row r="379" ht="31.5" customHeight="1">
      <c r="G379" s="3"/>
      <c r="N379" s="3">
        <f t="shared" si="5"/>
        <v>0</v>
      </c>
      <c r="P379" s="4">
        <v>0.0</v>
      </c>
      <c r="Q379" s="5"/>
      <c r="R379" s="5"/>
    </row>
    <row r="380" ht="31.5" customHeight="1">
      <c r="G380" s="3"/>
      <c r="N380" s="3">
        <f t="shared" si="5"/>
        <v>0</v>
      </c>
      <c r="P380" s="4">
        <v>0.0</v>
      </c>
      <c r="Q380" s="5"/>
      <c r="R380" s="5"/>
    </row>
    <row r="381" ht="31.5" customHeight="1">
      <c r="G381" s="3"/>
      <c r="N381" s="3">
        <f t="shared" si="5"/>
        <v>0</v>
      </c>
      <c r="P381" s="4">
        <v>0.0</v>
      </c>
      <c r="Q381" s="5"/>
      <c r="R381" s="5"/>
    </row>
    <row r="382" ht="31.5" customHeight="1">
      <c r="G382" s="3"/>
      <c r="N382" s="3">
        <f t="shared" si="5"/>
        <v>0</v>
      </c>
      <c r="P382" s="4">
        <v>0.0</v>
      </c>
      <c r="Q382" s="5"/>
      <c r="R382" s="5"/>
    </row>
    <row r="383" ht="31.5" customHeight="1">
      <c r="G383" s="3"/>
      <c r="N383" s="3">
        <f t="shared" si="5"/>
        <v>0</v>
      </c>
      <c r="P383" s="4">
        <v>0.0</v>
      </c>
      <c r="Q383" s="5"/>
      <c r="R383" s="5"/>
    </row>
    <row r="384" ht="31.5" customHeight="1">
      <c r="G384" s="3"/>
      <c r="N384" s="3">
        <f t="shared" si="5"/>
        <v>0</v>
      </c>
      <c r="P384" s="4">
        <v>0.0</v>
      </c>
      <c r="Q384" s="5"/>
      <c r="R384" s="5"/>
    </row>
    <row r="385" ht="31.5" customHeight="1">
      <c r="G385" s="3"/>
      <c r="N385" s="3">
        <f t="shared" si="5"/>
        <v>0</v>
      </c>
      <c r="P385" s="4">
        <v>0.0</v>
      </c>
      <c r="Q385" s="5"/>
      <c r="R385" s="5"/>
    </row>
    <row r="386" ht="31.5" customHeight="1">
      <c r="G386" s="3"/>
      <c r="N386" s="3">
        <f t="shared" si="5"/>
        <v>0</v>
      </c>
      <c r="P386" s="4">
        <v>0.0</v>
      </c>
      <c r="Q386" s="5"/>
      <c r="R386" s="5"/>
    </row>
    <row r="387" ht="31.5" customHeight="1">
      <c r="G387" s="3"/>
      <c r="N387" s="3">
        <f t="shared" si="5"/>
        <v>0</v>
      </c>
      <c r="P387" s="4">
        <v>0.0</v>
      </c>
      <c r="Q387" s="5"/>
      <c r="R387" s="5"/>
    </row>
    <row r="388" ht="31.5" customHeight="1">
      <c r="G388" s="3"/>
      <c r="N388" s="3">
        <f t="shared" si="5"/>
        <v>0</v>
      </c>
      <c r="P388" s="4">
        <v>0.0</v>
      </c>
      <c r="Q388" s="5"/>
      <c r="R388" s="5"/>
    </row>
    <row r="389" ht="31.5" customHeight="1">
      <c r="G389" s="3"/>
      <c r="N389" s="3">
        <f t="shared" si="5"/>
        <v>0</v>
      </c>
      <c r="P389" s="4">
        <v>0.0</v>
      </c>
      <c r="Q389" s="5"/>
      <c r="R389" s="5"/>
    </row>
    <row r="390" ht="31.5" customHeight="1">
      <c r="G390" s="3"/>
      <c r="N390" s="3">
        <f t="shared" si="5"/>
        <v>0</v>
      </c>
      <c r="P390" s="4">
        <v>0.0</v>
      </c>
      <c r="Q390" s="5"/>
      <c r="R390" s="5"/>
    </row>
    <row r="391" ht="31.5" customHeight="1">
      <c r="G391" s="3"/>
      <c r="N391" s="3">
        <f t="shared" si="5"/>
        <v>0</v>
      </c>
      <c r="P391" s="4">
        <v>0.0</v>
      </c>
      <c r="Q391" s="5"/>
      <c r="R391" s="5"/>
    </row>
    <row r="392" ht="31.5" customHeight="1">
      <c r="G392" s="3"/>
      <c r="N392" s="3">
        <f t="shared" si="5"/>
        <v>0</v>
      </c>
      <c r="P392" s="4">
        <v>0.0</v>
      </c>
      <c r="Q392" s="5"/>
      <c r="R392" s="5"/>
    </row>
    <row r="393" ht="31.5" customHeight="1">
      <c r="G393" s="3"/>
      <c r="N393" s="3">
        <f t="shared" si="5"/>
        <v>0</v>
      </c>
      <c r="P393" s="4">
        <v>0.0</v>
      </c>
      <c r="Q393" s="5"/>
      <c r="R393" s="5"/>
    </row>
    <row r="394" ht="31.5" customHeight="1">
      <c r="G394" s="3"/>
      <c r="N394" s="3">
        <f t="shared" si="5"/>
        <v>0</v>
      </c>
      <c r="P394" s="4">
        <v>0.0</v>
      </c>
      <c r="Q394" s="5"/>
      <c r="R394" s="5"/>
    </row>
    <row r="395" ht="31.5" customHeight="1">
      <c r="G395" s="3"/>
      <c r="N395" s="3">
        <f t="shared" si="5"/>
        <v>0</v>
      </c>
      <c r="P395" s="4">
        <v>0.0</v>
      </c>
      <c r="Q395" s="5"/>
      <c r="R395" s="5"/>
    </row>
    <row r="396" ht="31.5" customHeight="1">
      <c r="G396" s="3"/>
      <c r="N396" s="3">
        <f t="shared" si="5"/>
        <v>0</v>
      </c>
      <c r="P396" s="4">
        <v>0.0</v>
      </c>
      <c r="Q396" s="5"/>
      <c r="R396" s="5"/>
    </row>
    <row r="397" ht="31.5" customHeight="1">
      <c r="G397" s="3"/>
      <c r="N397" s="3">
        <f t="shared" si="5"/>
        <v>0</v>
      </c>
      <c r="P397" s="4">
        <v>0.0</v>
      </c>
      <c r="Q397" s="5"/>
      <c r="R397" s="5"/>
    </row>
    <row r="398" ht="31.5" customHeight="1">
      <c r="G398" s="3"/>
      <c r="N398" s="3">
        <f t="shared" si="5"/>
        <v>0</v>
      </c>
      <c r="P398" s="4">
        <v>0.0</v>
      </c>
      <c r="Q398" s="5"/>
      <c r="R398" s="5"/>
    </row>
    <row r="399" ht="31.5" customHeight="1">
      <c r="G399" s="3"/>
      <c r="N399" s="3">
        <f t="shared" si="5"/>
        <v>0</v>
      </c>
      <c r="P399" s="4">
        <v>0.0</v>
      </c>
      <c r="Q399" s="5"/>
      <c r="R399" s="5"/>
    </row>
    <row r="400" ht="31.5" customHeight="1">
      <c r="G400" s="3"/>
      <c r="N400" s="3">
        <f t="shared" si="5"/>
        <v>0</v>
      </c>
      <c r="P400" s="4">
        <v>0.0</v>
      </c>
      <c r="Q400" s="5"/>
      <c r="R400" s="5"/>
    </row>
    <row r="401" ht="31.5" customHeight="1">
      <c r="G401" s="3"/>
      <c r="N401" s="3">
        <f t="shared" si="5"/>
        <v>0</v>
      </c>
      <c r="P401" s="4">
        <v>0.0</v>
      </c>
      <c r="Q401" s="5"/>
      <c r="R401" s="5"/>
    </row>
    <row r="402" ht="31.5" customHeight="1">
      <c r="G402" s="3"/>
      <c r="N402" s="3">
        <f t="shared" si="5"/>
        <v>0</v>
      </c>
      <c r="P402" s="4">
        <v>0.0</v>
      </c>
      <c r="Q402" s="5"/>
      <c r="R402" s="5"/>
    </row>
    <row r="403" ht="31.5" customHeight="1">
      <c r="G403" s="3"/>
      <c r="N403" s="3">
        <f t="shared" si="5"/>
        <v>0</v>
      </c>
      <c r="P403" s="4">
        <v>0.0</v>
      </c>
      <c r="Q403" s="5"/>
      <c r="R403" s="5"/>
    </row>
    <row r="404" ht="31.5" customHeight="1">
      <c r="G404" s="3"/>
      <c r="N404" s="3">
        <f t="shared" si="5"/>
        <v>0</v>
      </c>
      <c r="P404" s="4">
        <v>0.0</v>
      </c>
      <c r="Q404" s="5"/>
      <c r="R404" s="5"/>
    </row>
    <row r="405" ht="31.5" customHeight="1">
      <c r="G405" s="3"/>
      <c r="N405" s="3">
        <f t="shared" si="5"/>
        <v>0</v>
      </c>
      <c r="P405" s="4">
        <v>0.0</v>
      </c>
      <c r="Q405" s="5"/>
      <c r="R405" s="5"/>
    </row>
    <row r="406" ht="31.5" customHeight="1">
      <c r="G406" s="3"/>
      <c r="N406" s="3">
        <f t="shared" si="5"/>
        <v>0</v>
      </c>
      <c r="P406" s="4">
        <v>0.0</v>
      </c>
      <c r="Q406" s="5"/>
      <c r="R406" s="5"/>
    </row>
    <row r="407" ht="31.5" customHeight="1">
      <c r="G407" s="3"/>
      <c r="N407" s="3">
        <f t="shared" si="5"/>
        <v>0</v>
      </c>
      <c r="P407" s="4">
        <v>0.0</v>
      </c>
      <c r="Q407" s="5"/>
      <c r="R407" s="5"/>
    </row>
    <row r="408" ht="31.5" customHeight="1">
      <c r="G408" s="3"/>
      <c r="N408" s="3">
        <f t="shared" si="5"/>
        <v>0</v>
      </c>
      <c r="P408" s="4">
        <v>0.0</v>
      </c>
      <c r="Q408" s="5"/>
      <c r="R408" s="5"/>
    </row>
    <row r="409" ht="31.5" customHeight="1">
      <c r="G409" s="3"/>
      <c r="N409" s="3">
        <f t="shared" si="5"/>
        <v>0</v>
      </c>
      <c r="P409" s="4">
        <v>0.0</v>
      </c>
      <c r="Q409" s="5"/>
      <c r="R409" s="5"/>
    </row>
    <row r="410" ht="31.5" customHeight="1">
      <c r="G410" s="3"/>
      <c r="N410" s="3">
        <f t="shared" si="5"/>
        <v>0</v>
      </c>
      <c r="P410" s="4">
        <v>0.0</v>
      </c>
      <c r="Q410" s="5"/>
      <c r="R410" s="5"/>
    </row>
    <row r="411" ht="31.5" customHeight="1">
      <c r="G411" s="3"/>
      <c r="N411" s="3">
        <f t="shared" si="5"/>
        <v>0</v>
      </c>
      <c r="P411" s="4">
        <v>0.0</v>
      </c>
      <c r="Q411" s="5"/>
      <c r="R411" s="5"/>
    </row>
    <row r="412" ht="31.5" customHeight="1">
      <c r="G412" s="3"/>
      <c r="N412" s="3">
        <f t="shared" si="5"/>
        <v>0</v>
      </c>
      <c r="P412" s="4">
        <v>0.0</v>
      </c>
      <c r="Q412" s="5"/>
      <c r="R412" s="5"/>
    </row>
    <row r="413" ht="31.5" customHeight="1">
      <c r="G413" s="3"/>
      <c r="N413" s="3">
        <f t="shared" si="5"/>
        <v>0</v>
      </c>
      <c r="P413" s="4">
        <v>0.0</v>
      </c>
      <c r="Q413" s="5"/>
      <c r="R413" s="5"/>
    </row>
    <row r="414" ht="31.5" customHeight="1">
      <c r="G414" s="3"/>
      <c r="N414" s="3">
        <f t="shared" si="5"/>
        <v>0</v>
      </c>
      <c r="P414" s="4">
        <v>0.0</v>
      </c>
      <c r="Q414" s="5"/>
      <c r="R414" s="5"/>
    </row>
    <row r="415" ht="31.5" customHeight="1">
      <c r="G415" s="3"/>
      <c r="N415" s="3">
        <f t="shared" si="5"/>
        <v>0</v>
      </c>
      <c r="P415" s="4">
        <v>0.0</v>
      </c>
      <c r="Q415" s="5"/>
      <c r="R415" s="5"/>
    </row>
    <row r="416" ht="31.5" customHeight="1">
      <c r="G416" s="3"/>
      <c r="N416" s="3">
        <f t="shared" si="5"/>
        <v>0</v>
      </c>
      <c r="P416" s="4">
        <v>0.0</v>
      </c>
      <c r="Q416" s="5"/>
      <c r="R416" s="5"/>
    </row>
    <row r="417" ht="31.5" customHeight="1">
      <c r="G417" s="3"/>
      <c r="N417" s="3">
        <f t="shared" si="5"/>
        <v>0</v>
      </c>
      <c r="P417" s="4">
        <v>0.0</v>
      </c>
      <c r="Q417" s="5"/>
      <c r="R417" s="5"/>
    </row>
    <row r="418" ht="31.5" customHeight="1">
      <c r="G418" s="3"/>
      <c r="N418" s="3">
        <f t="shared" si="5"/>
        <v>0</v>
      </c>
      <c r="P418" s="4">
        <v>0.0</v>
      </c>
      <c r="Q418" s="5"/>
      <c r="R418" s="5"/>
    </row>
    <row r="419" ht="31.5" customHeight="1">
      <c r="G419" s="3"/>
      <c r="N419" s="3">
        <f t="shared" si="5"/>
        <v>0</v>
      </c>
      <c r="P419" s="4">
        <v>0.0</v>
      </c>
      <c r="Q419" s="5"/>
      <c r="R419" s="5"/>
    </row>
    <row r="420" ht="31.5" customHeight="1">
      <c r="G420" s="3"/>
      <c r="N420" s="3">
        <f t="shared" si="5"/>
        <v>0</v>
      </c>
      <c r="P420" s="4">
        <v>0.0</v>
      </c>
      <c r="Q420" s="5"/>
      <c r="R420" s="5"/>
    </row>
    <row r="421" ht="31.5" customHeight="1">
      <c r="G421" s="3"/>
      <c r="N421" s="3">
        <f t="shared" si="5"/>
        <v>0</v>
      </c>
      <c r="P421" s="4">
        <v>0.0</v>
      </c>
      <c r="Q421" s="5"/>
      <c r="R421" s="5"/>
    </row>
    <row r="422" ht="31.5" customHeight="1">
      <c r="G422" s="3"/>
      <c r="N422" s="3">
        <f t="shared" si="5"/>
        <v>0</v>
      </c>
      <c r="P422" s="4">
        <v>0.0</v>
      </c>
      <c r="Q422" s="5"/>
      <c r="R422" s="5"/>
    </row>
    <row r="423" ht="31.5" customHeight="1">
      <c r="G423" s="3"/>
      <c r="N423" s="3">
        <f t="shared" si="5"/>
        <v>0</v>
      </c>
      <c r="P423" s="4">
        <v>0.0</v>
      </c>
      <c r="Q423" s="5"/>
      <c r="R423" s="5"/>
    </row>
    <row r="424" ht="31.5" customHeight="1">
      <c r="G424" s="3"/>
      <c r="N424" s="3">
        <f t="shared" si="5"/>
        <v>0</v>
      </c>
      <c r="P424" s="4">
        <v>0.0</v>
      </c>
      <c r="Q424" s="5"/>
      <c r="R424" s="5"/>
    </row>
    <row r="425" ht="31.5" customHeight="1">
      <c r="G425" s="3"/>
      <c r="N425" s="3">
        <f t="shared" si="5"/>
        <v>0</v>
      </c>
      <c r="P425" s="4">
        <v>0.0</v>
      </c>
      <c r="Q425" s="5"/>
      <c r="R425" s="5"/>
    </row>
    <row r="426" ht="31.5" customHeight="1">
      <c r="G426" s="3"/>
      <c r="N426" s="3">
        <f t="shared" si="5"/>
        <v>0</v>
      </c>
      <c r="P426" s="4">
        <v>0.0</v>
      </c>
      <c r="Q426" s="5"/>
      <c r="R426" s="5"/>
    </row>
    <row r="427" ht="31.5" customHeight="1">
      <c r="G427" s="3"/>
      <c r="N427" s="3">
        <f t="shared" si="5"/>
        <v>0</v>
      </c>
      <c r="P427" s="4">
        <v>0.0</v>
      </c>
      <c r="Q427" s="5"/>
      <c r="R427" s="5"/>
    </row>
    <row r="428" ht="31.5" customHeight="1">
      <c r="G428" s="3"/>
      <c r="N428" s="3">
        <f t="shared" si="5"/>
        <v>0</v>
      </c>
      <c r="P428" s="4">
        <v>0.0</v>
      </c>
      <c r="Q428" s="5"/>
      <c r="R428" s="5"/>
    </row>
    <row r="429" ht="31.5" customHeight="1">
      <c r="G429" s="3"/>
      <c r="N429" s="3">
        <f t="shared" si="5"/>
        <v>0</v>
      </c>
      <c r="P429" s="4">
        <v>0.0</v>
      </c>
      <c r="Q429" s="5"/>
      <c r="R429" s="5"/>
    </row>
    <row r="430" ht="31.5" customHeight="1">
      <c r="G430" s="3"/>
      <c r="N430" s="3">
        <f t="shared" si="5"/>
        <v>0</v>
      </c>
      <c r="P430" s="4">
        <v>0.0</v>
      </c>
      <c r="Q430" s="5"/>
      <c r="R430" s="5"/>
    </row>
    <row r="431" ht="31.5" customHeight="1">
      <c r="G431" s="3"/>
      <c r="N431" s="3">
        <f t="shared" si="5"/>
        <v>0</v>
      </c>
      <c r="P431" s="4">
        <v>0.0</v>
      </c>
      <c r="Q431" s="5"/>
      <c r="R431" s="5"/>
    </row>
    <row r="432" ht="31.5" customHeight="1">
      <c r="G432" s="3"/>
      <c r="N432" s="3">
        <f t="shared" si="5"/>
        <v>0</v>
      </c>
      <c r="P432" s="4">
        <v>0.0</v>
      </c>
      <c r="Q432" s="5"/>
      <c r="R432" s="5"/>
    </row>
    <row r="433" ht="31.5" customHeight="1">
      <c r="G433" s="3"/>
      <c r="N433" s="3">
        <f t="shared" si="5"/>
        <v>0</v>
      </c>
      <c r="P433" s="4">
        <v>0.0</v>
      </c>
      <c r="Q433" s="5"/>
      <c r="R433" s="5"/>
    </row>
    <row r="434" ht="31.5" customHeight="1">
      <c r="G434" s="3"/>
      <c r="N434" s="3">
        <f t="shared" si="5"/>
        <v>0</v>
      </c>
      <c r="P434" s="4">
        <v>0.0</v>
      </c>
      <c r="Q434" s="5"/>
      <c r="R434" s="5"/>
    </row>
    <row r="435" ht="31.5" customHeight="1">
      <c r="G435" s="3"/>
      <c r="N435" s="3">
        <f t="shared" si="5"/>
        <v>0</v>
      </c>
      <c r="P435" s="4">
        <v>0.0</v>
      </c>
      <c r="Q435" s="5"/>
      <c r="R435" s="5"/>
    </row>
    <row r="436" ht="31.5" customHeight="1">
      <c r="G436" s="3"/>
      <c r="N436" s="3">
        <f t="shared" si="5"/>
        <v>0</v>
      </c>
      <c r="P436" s="4">
        <v>0.0</v>
      </c>
      <c r="Q436" s="5"/>
      <c r="R436" s="5"/>
    </row>
    <row r="437" ht="31.5" customHeight="1">
      <c r="G437" s="3"/>
      <c r="N437" s="3">
        <f t="shared" si="5"/>
        <v>0</v>
      </c>
      <c r="P437" s="4">
        <v>0.0</v>
      </c>
      <c r="Q437" s="5"/>
      <c r="R437" s="5"/>
    </row>
    <row r="438" ht="31.5" customHeight="1">
      <c r="G438" s="3"/>
      <c r="N438" s="3">
        <f t="shared" si="5"/>
        <v>0</v>
      </c>
      <c r="P438" s="4">
        <v>0.0</v>
      </c>
      <c r="Q438" s="5"/>
      <c r="R438" s="5"/>
    </row>
    <row r="439" ht="31.5" customHeight="1">
      <c r="G439" s="3"/>
      <c r="N439" s="3">
        <f t="shared" si="5"/>
        <v>0</v>
      </c>
      <c r="P439" s="4">
        <v>0.0</v>
      </c>
      <c r="Q439" s="5"/>
      <c r="R439" s="5"/>
    </row>
    <row r="440" ht="31.5" customHeight="1">
      <c r="G440" s="3"/>
      <c r="N440" s="3">
        <f t="shared" si="5"/>
        <v>0</v>
      </c>
      <c r="P440" s="4">
        <v>0.0</v>
      </c>
      <c r="Q440" s="5"/>
      <c r="R440" s="5"/>
    </row>
    <row r="441" ht="31.5" customHeight="1">
      <c r="G441" s="3"/>
      <c r="N441" s="3">
        <f t="shared" si="5"/>
        <v>0</v>
      </c>
      <c r="P441" s="4">
        <v>0.0</v>
      </c>
      <c r="Q441" s="5"/>
      <c r="R441" s="5"/>
    </row>
    <row r="442" ht="31.5" customHeight="1">
      <c r="G442" s="3"/>
      <c r="N442" s="3">
        <f t="shared" si="5"/>
        <v>0</v>
      </c>
      <c r="P442" s="4">
        <v>0.0</v>
      </c>
      <c r="Q442" s="5"/>
      <c r="R442" s="5"/>
    </row>
    <row r="443" ht="31.5" customHeight="1">
      <c r="G443" s="3"/>
      <c r="N443" s="3">
        <f t="shared" si="5"/>
        <v>0</v>
      </c>
      <c r="P443" s="4">
        <v>0.0</v>
      </c>
      <c r="Q443" s="5"/>
      <c r="R443" s="5"/>
    </row>
    <row r="444" ht="31.5" customHeight="1">
      <c r="G444" s="3"/>
      <c r="N444" s="3">
        <f t="shared" si="5"/>
        <v>0</v>
      </c>
      <c r="P444" s="4">
        <v>0.0</v>
      </c>
      <c r="Q444" s="5"/>
      <c r="R444" s="5"/>
    </row>
    <row r="445" ht="31.5" customHeight="1">
      <c r="G445" s="3"/>
      <c r="N445" s="3">
        <f t="shared" si="5"/>
        <v>0</v>
      </c>
      <c r="P445" s="4">
        <v>0.0</v>
      </c>
      <c r="Q445" s="5"/>
      <c r="R445" s="5"/>
    </row>
    <row r="446" ht="31.5" customHeight="1">
      <c r="G446" s="3"/>
      <c r="N446" s="3">
        <f t="shared" si="5"/>
        <v>0</v>
      </c>
      <c r="P446" s="4">
        <v>0.0</v>
      </c>
      <c r="Q446" s="5"/>
      <c r="R446" s="5"/>
    </row>
    <row r="447" ht="31.5" customHeight="1">
      <c r="G447" s="3"/>
      <c r="N447" s="3">
        <f t="shared" si="5"/>
        <v>0</v>
      </c>
      <c r="P447" s="4">
        <v>0.0</v>
      </c>
      <c r="Q447" s="5"/>
      <c r="R447" s="5"/>
    </row>
    <row r="448" ht="31.5" customHeight="1">
      <c r="G448" s="3"/>
      <c r="N448" s="3">
        <f t="shared" si="5"/>
        <v>0</v>
      </c>
      <c r="P448" s="4">
        <v>0.0</v>
      </c>
      <c r="Q448" s="5"/>
      <c r="R448" s="5"/>
    </row>
    <row r="449" ht="31.5" customHeight="1">
      <c r="G449" s="3"/>
      <c r="N449" s="3">
        <f t="shared" si="5"/>
        <v>0</v>
      </c>
      <c r="P449" s="4">
        <v>0.0</v>
      </c>
      <c r="Q449" s="5"/>
      <c r="R449" s="5"/>
    </row>
    <row r="450" ht="31.5" customHeight="1">
      <c r="G450" s="3"/>
      <c r="N450" s="3">
        <f t="shared" si="5"/>
        <v>0</v>
      </c>
      <c r="P450" s="4">
        <v>0.0</v>
      </c>
      <c r="Q450" s="5"/>
      <c r="R450" s="5"/>
    </row>
    <row r="451" ht="31.5" customHeight="1">
      <c r="G451" s="3"/>
      <c r="N451" s="3">
        <f t="shared" si="5"/>
        <v>0</v>
      </c>
      <c r="P451" s="4">
        <v>0.0</v>
      </c>
      <c r="Q451" s="5"/>
      <c r="R451" s="5"/>
    </row>
    <row r="452" ht="31.5" customHeight="1">
      <c r="G452" s="3"/>
      <c r="N452" s="3">
        <f t="shared" si="5"/>
        <v>0</v>
      </c>
      <c r="P452" s="4">
        <v>0.0</v>
      </c>
      <c r="Q452" s="5"/>
      <c r="R452" s="5"/>
    </row>
    <row r="453" ht="31.5" customHeight="1">
      <c r="G453" s="3"/>
      <c r="N453" s="3">
        <f t="shared" si="5"/>
        <v>0</v>
      </c>
      <c r="P453" s="4">
        <v>0.0</v>
      </c>
      <c r="Q453" s="5"/>
      <c r="R453" s="5"/>
    </row>
    <row r="454" ht="31.5" customHeight="1">
      <c r="G454" s="3"/>
      <c r="N454" s="3">
        <f t="shared" si="5"/>
        <v>0</v>
      </c>
      <c r="P454" s="4">
        <v>0.0</v>
      </c>
      <c r="Q454" s="5"/>
      <c r="R454" s="5"/>
    </row>
    <row r="455" ht="31.5" customHeight="1">
      <c r="G455" s="3"/>
      <c r="N455" s="3">
        <f t="shared" si="5"/>
        <v>0</v>
      </c>
      <c r="P455" s="4">
        <v>0.0</v>
      </c>
      <c r="Q455" s="5"/>
      <c r="R455" s="5"/>
    </row>
    <row r="456" ht="31.5" customHeight="1">
      <c r="G456" s="3"/>
      <c r="N456" s="3">
        <f t="shared" si="5"/>
        <v>0</v>
      </c>
      <c r="P456" s="4">
        <v>0.0</v>
      </c>
      <c r="Q456" s="5"/>
      <c r="R456" s="5"/>
    </row>
    <row r="457" ht="31.5" customHeight="1">
      <c r="G457" s="3"/>
      <c r="N457" s="3">
        <f t="shared" si="5"/>
        <v>0</v>
      </c>
      <c r="P457" s="4">
        <v>0.0</v>
      </c>
      <c r="Q457" s="5"/>
      <c r="R457" s="5"/>
    </row>
    <row r="458" ht="31.5" customHeight="1">
      <c r="G458" s="3"/>
      <c r="N458" s="3">
        <f t="shared" si="5"/>
        <v>0</v>
      </c>
      <c r="P458" s="4">
        <v>0.0</v>
      </c>
      <c r="Q458" s="5"/>
      <c r="R458" s="5"/>
    </row>
    <row r="459" ht="31.5" customHeight="1">
      <c r="G459" s="3"/>
      <c r="N459" s="3">
        <f t="shared" si="5"/>
        <v>0</v>
      </c>
      <c r="P459" s="4">
        <v>0.0</v>
      </c>
      <c r="Q459" s="5"/>
      <c r="R459" s="5"/>
    </row>
    <row r="460" ht="31.5" customHeight="1">
      <c r="G460" s="3"/>
      <c r="N460" s="3">
        <f t="shared" si="5"/>
        <v>0</v>
      </c>
      <c r="P460" s="4">
        <v>0.0</v>
      </c>
      <c r="Q460" s="5"/>
      <c r="R460" s="5"/>
    </row>
    <row r="461" ht="31.5" customHeight="1">
      <c r="G461" s="3"/>
      <c r="N461" s="3">
        <f t="shared" si="5"/>
        <v>0</v>
      </c>
      <c r="P461" s="4">
        <v>0.0</v>
      </c>
      <c r="Q461" s="5"/>
      <c r="R461" s="5"/>
    </row>
    <row r="462" ht="31.5" customHeight="1">
      <c r="G462" s="3"/>
      <c r="N462" s="3">
        <f t="shared" si="5"/>
        <v>0</v>
      </c>
      <c r="P462" s="4">
        <v>0.0</v>
      </c>
      <c r="Q462" s="5"/>
      <c r="R462" s="5"/>
    </row>
    <row r="463" ht="31.5" customHeight="1">
      <c r="G463" s="3"/>
      <c r="N463" s="3">
        <f t="shared" si="5"/>
        <v>0</v>
      </c>
      <c r="P463" s="4">
        <v>0.0</v>
      </c>
      <c r="Q463" s="5"/>
      <c r="R463" s="5"/>
    </row>
    <row r="464" ht="31.5" customHeight="1">
      <c r="G464" s="3"/>
      <c r="N464" s="3">
        <f t="shared" si="5"/>
        <v>0</v>
      </c>
      <c r="P464" s="4">
        <v>0.0</v>
      </c>
      <c r="Q464" s="5"/>
      <c r="R464" s="5"/>
    </row>
    <row r="465" ht="31.5" customHeight="1">
      <c r="G465" s="3"/>
      <c r="N465" s="3">
        <f t="shared" si="5"/>
        <v>0</v>
      </c>
      <c r="P465" s="4">
        <v>0.0</v>
      </c>
      <c r="Q465" s="5"/>
      <c r="R465" s="5"/>
    </row>
    <row r="466" ht="31.5" customHeight="1">
      <c r="G466" s="3"/>
      <c r="N466" s="3">
        <f t="shared" si="5"/>
        <v>0</v>
      </c>
      <c r="P466" s="4">
        <v>0.0</v>
      </c>
      <c r="Q466" s="5"/>
      <c r="R466" s="5"/>
    </row>
    <row r="467" ht="31.5" customHeight="1">
      <c r="G467" s="3"/>
      <c r="N467" s="3">
        <f t="shared" si="5"/>
        <v>0</v>
      </c>
      <c r="P467" s="4">
        <v>0.0</v>
      </c>
      <c r="Q467" s="5"/>
      <c r="R467" s="5"/>
    </row>
    <row r="468" ht="31.5" customHeight="1">
      <c r="G468" s="3"/>
      <c r="N468" s="3">
        <f t="shared" si="5"/>
        <v>0</v>
      </c>
      <c r="P468" s="4">
        <v>0.0</v>
      </c>
      <c r="Q468" s="5"/>
      <c r="R468" s="5"/>
    </row>
    <row r="469" ht="31.5" customHeight="1">
      <c r="G469" s="3"/>
      <c r="N469" s="3">
        <f t="shared" si="5"/>
        <v>0</v>
      </c>
      <c r="P469" s="4">
        <v>0.0</v>
      </c>
      <c r="Q469" s="5"/>
      <c r="R469" s="5"/>
    </row>
    <row r="470" ht="31.5" customHeight="1">
      <c r="G470" s="3"/>
      <c r="N470" s="3">
        <f t="shared" si="5"/>
        <v>0</v>
      </c>
      <c r="P470" s="4">
        <v>0.0</v>
      </c>
      <c r="Q470" s="5"/>
      <c r="R470" s="5"/>
    </row>
    <row r="471" ht="31.5" customHeight="1">
      <c r="G471" s="3"/>
      <c r="N471" s="3">
        <f t="shared" si="5"/>
        <v>0</v>
      </c>
      <c r="P471" s="4">
        <v>0.0</v>
      </c>
      <c r="Q471" s="5"/>
      <c r="R471" s="5"/>
    </row>
    <row r="472" ht="31.5" customHeight="1">
      <c r="G472" s="3"/>
      <c r="N472" s="3">
        <f t="shared" si="5"/>
        <v>0</v>
      </c>
      <c r="P472" s="4">
        <v>0.0</v>
      </c>
      <c r="Q472" s="5"/>
      <c r="R472" s="5"/>
    </row>
    <row r="473" ht="31.5" customHeight="1">
      <c r="G473" s="3"/>
      <c r="N473" s="3">
        <f t="shared" si="5"/>
        <v>0</v>
      </c>
      <c r="P473" s="4">
        <v>0.0</v>
      </c>
      <c r="Q473" s="5"/>
      <c r="R473" s="5"/>
    </row>
    <row r="474" ht="31.5" customHeight="1">
      <c r="G474" s="3"/>
      <c r="N474" s="3">
        <f t="shared" si="5"/>
        <v>0</v>
      </c>
      <c r="P474" s="4">
        <v>0.0</v>
      </c>
      <c r="Q474" s="5"/>
      <c r="R474" s="5"/>
    </row>
    <row r="475" ht="31.5" customHeight="1">
      <c r="G475" s="3"/>
      <c r="N475" s="3">
        <f t="shared" si="5"/>
        <v>0</v>
      </c>
      <c r="P475" s="4">
        <v>0.0</v>
      </c>
      <c r="Q475" s="5"/>
      <c r="R475" s="5"/>
    </row>
    <row r="476" ht="31.5" customHeight="1">
      <c r="G476" s="3"/>
      <c r="N476" s="3">
        <f t="shared" si="5"/>
        <v>0</v>
      </c>
      <c r="P476" s="4">
        <v>0.0</v>
      </c>
      <c r="Q476" s="5"/>
      <c r="R476" s="5"/>
    </row>
    <row r="477" ht="31.5" customHeight="1">
      <c r="G477" s="3"/>
      <c r="N477" s="3">
        <f t="shared" si="5"/>
        <v>0</v>
      </c>
      <c r="P477" s="4">
        <v>0.0</v>
      </c>
      <c r="Q477" s="5"/>
      <c r="R477" s="5"/>
    </row>
    <row r="478" ht="31.5" customHeight="1">
      <c r="G478" s="3"/>
      <c r="N478" s="3">
        <f t="shared" si="5"/>
        <v>0</v>
      </c>
      <c r="P478" s="4">
        <v>0.0</v>
      </c>
      <c r="Q478" s="5"/>
      <c r="R478" s="5"/>
    </row>
    <row r="479" ht="31.5" customHeight="1">
      <c r="G479" s="3"/>
      <c r="N479" s="3">
        <f t="shared" si="5"/>
        <v>0</v>
      </c>
      <c r="P479" s="4">
        <v>0.0</v>
      </c>
      <c r="Q479" s="5"/>
      <c r="R479" s="5"/>
    </row>
    <row r="480" ht="31.5" customHeight="1">
      <c r="G480" s="3"/>
      <c r="N480" s="3">
        <f t="shared" si="5"/>
        <v>0</v>
      </c>
      <c r="P480" s="4">
        <v>0.0</v>
      </c>
      <c r="Q480" s="5"/>
      <c r="R480" s="5"/>
    </row>
    <row r="481" ht="31.5" customHeight="1">
      <c r="G481" s="3"/>
      <c r="N481" s="3">
        <f t="shared" si="5"/>
        <v>0</v>
      </c>
      <c r="P481" s="4">
        <v>0.0</v>
      </c>
      <c r="Q481" s="5"/>
      <c r="R481" s="5"/>
    </row>
    <row r="482" ht="31.5" customHeight="1">
      <c r="G482" s="3"/>
      <c r="N482" s="3">
        <f t="shared" si="5"/>
        <v>0</v>
      </c>
      <c r="P482" s="4">
        <v>0.0</v>
      </c>
      <c r="Q482" s="5"/>
      <c r="R482" s="5"/>
    </row>
    <row r="483" ht="31.5" customHeight="1">
      <c r="G483" s="3"/>
      <c r="N483" s="3">
        <f t="shared" si="5"/>
        <v>0</v>
      </c>
      <c r="P483" s="4">
        <v>0.0</v>
      </c>
      <c r="Q483" s="5"/>
      <c r="R483" s="5"/>
    </row>
    <row r="484" ht="31.5" customHeight="1">
      <c r="G484" s="3"/>
      <c r="N484" s="3">
        <f t="shared" si="5"/>
        <v>0</v>
      </c>
      <c r="P484" s="4">
        <v>0.0</v>
      </c>
      <c r="Q484" s="5"/>
      <c r="R484" s="5"/>
    </row>
    <row r="485" ht="31.5" customHeight="1">
      <c r="G485" s="3"/>
      <c r="N485" s="3">
        <f t="shared" si="5"/>
        <v>0</v>
      </c>
      <c r="P485" s="4">
        <v>0.0</v>
      </c>
      <c r="Q485" s="5"/>
      <c r="R485" s="5"/>
    </row>
    <row r="486" ht="31.5" customHeight="1">
      <c r="G486" s="3"/>
      <c r="N486" s="3">
        <f t="shared" si="5"/>
        <v>0</v>
      </c>
      <c r="P486" s="4">
        <v>0.0</v>
      </c>
      <c r="Q486" s="5"/>
      <c r="R486" s="5"/>
    </row>
    <row r="487" ht="31.5" customHeight="1">
      <c r="G487" s="3"/>
      <c r="N487" s="3">
        <f t="shared" si="5"/>
        <v>0</v>
      </c>
      <c r="P487" s="4">
        <v>0.0</v>
      </c>
      <c r="Q487" s="5"/>
      <c r="R487" s="5"/>
    </row>
    <row r="488" ht="31.5" customHeight="1">
      <c r="G488" s="3"/>
      <c r="N488" s="3">
        <f t="shared" si="5"/>
        <v>0</v>
      </c>
      <c r="P488" s="4">
        <v>0.0</v>
      </c>
      <c r="Q488" s="5"/>
      <c r="R488" s="5"/>
    </row>
    <row r="489" ht="31.5" customHeight="1">
      <c r="G489" s="3"/>
      <c r="N489" s="3">
        <f t="shared" si="5"/>
        <v>0</v>
      </c>
      <c r="P489" s="4">
        <v>0.0</v>
      </c>
      <c r="Q489" s="5"/>
      <c r="R489" s="5"/>
    </row>
    <row r="490" ht="31.5" customHeight="1">
      <c r="G490" s="3"/>
      <c r="N490" s="3">
        <f t="shared" si="5"/>
        <v>0</v>
      </c>
      <c r="P490" s="4">
        <v>0.0</v>
      </c>
      <c r="Q490" s="5"/>
      <c r="R490" s="5"/>
    </row>
    <row r="491" ht="31.5" customHeight="1">
      <c r="G491" s="3"/>
      <c r="N491" s="3">
        <f t="shared" si="5"/>
        <v>0</v>
      </c>
      <c r="P491" s="4">
        <v>0.0</v>
      </c>
      <c r="Q491" s="5"/>
      <c r="R491" s="5"/>
    </row>
    <row r="492" ht="31.5" customHeight="1">
      <c r="G492" s="3"/>
      <c r="N492" s="3">
        <f t="shared" si="5"/>
        <v>0</v>
      </c>
      <c r="P492" s="4">
        <v>0.0</v>
      </c>
      <c r="Q492" s="5"/>
      <c r="R492" s="5"/>
    </row>
    <row r="493" ht="31.5" customHeight="1">
      <c r="G493" s="3"/>
      <c r="N493" s="3">
        <f t="shared" si="5"/>
        <v>0</v>
      </c>
      <c r="P493" s="4">
        <v>0.0</v>
      </c>
      <c r="Q493" s="5"/>
      <c r="R493" s="5"/>
    </row>
    <row r="494" ht="31.5" customHeight="1">
      <c r="G494" s="3"/>
      <c r="N494" s="3">
        <f t="shared" si="5"/>
        <v>0</v>
      </c>
      <c r="P494" s="4">
        <v>0.0</v>
      </c>
      <c r="Q494" s="5"/>
      <c r="R494" s="5"/>
    </row>
    <row r="495" ht="31.5" customHeight="1">
      <c r="G495" s="3"/>
      <c r="N495" s="3">
        <f t="shared" si="5"/>
        <v>0</v>
      </c>
      <c r="P495" s="4">
        <v>0.0</v>
      </c>
      <c r="Q495" s="5"/>
      <c r="R495" s="5"/>
    </row>
    <row r="496" ht="31.5" customHeight="1">
      <c r="G496" s="3"/>
      <c r="N496" s="3">
        <f t="shared" si="5"/>
        <v>0</v>
      </c>
      <c r="P496" s="4">
        <v>0.0</v>
      </c>
      <c r="Q496" s="5"/>
      <c r="R496" s="5"/>
    </row>
    <row r="497" ht="31.5" customHeight="1">
      <c r="G497" s="3"/>
      <c r="N497" s="3">
        <f t="shared" si="5"/>
        <v>0</v>
      </c>
      <c r="P497" s="4">
        <v>0.0</v>
      </c>
      <c r="Q497" s="5"/>
      <c r="R497" s="5"/>
    </row>
    <row r="498" ht="31.5" customHeight="1">
      <c r="G498" s="3"/>
      <c r="N498" s="3">
        <f t="shared" si="5"/>
        <v>0</v>
      </c>
      <c r="P498" s="4">
        <v>0.0</v>
      </c>
      <c r="Q498" s="5"/>
      <c r="R498" s="5"/>
    </row>
    <row r="499" ht="31.5" customHeight="1">
      <c r="G499" s="3"/>
      <c r="N499" s="3">
        <f t="shared" si="5"/>
        <v>0</v>
      </c>
      <c r="P499" s="4">
        <v>0.0</v>
      </c>
      <c r="Q499" s="5"/>
      <c r="R499" s="5"/>
    </row>
    <row r="500" ht="31.5" customHeight="1">
      <c r="G500" s="3"/>
      <c r="N500" s="3">
        <f t="shared" si="5"/>
        <v>0</v>
      </c>
      <c r="P500" s="4">
        <v>0.0</v>
      </c>
      <c r="Q500" s="5"/>
      <c r="R500" s="5"/>
    </row>
    <row r="501" ht="31.5" customHeight="1">
      <c r="G501" s="3"/>
      <c r="N501" s="3">
        <f t="shared" si="5"/>
        <v>0</v>
      </c>
      <c r="P501" s="4">
        <v>0.0</v>
      </c>
      <c r="Q501" s="5"/>
      <c r="R501" s="5"/>
    </row>
    <row r="502" ht="31.5" customHeight="1">
      <c r="G502" s="3"/>
      <c r="N502" s="3">
        <f t="shared" si="5"/>
        <v>0</v>
      </c>
      <c r="P502" s="4">
        <v>0.0</v>
      </c>
      <c r="Q502" s="5"/>
      <c r="R502" s="5"/>
    </row>
    <row r="503" ht="31.5" customHeight="1">
      <c r="G503" s="3"/>
      <c r="N503" s="3">
        <f t="shared" si="5"/>
        <v>0</v>
      </c>
      <c r="P503" s="4">
        <v>0.0</v>
      </c>
      <c r="Q503" s="5"/>
      <c r="R503" s="5"/>
    </row>
    <row r="504" ht="31.5" customHeight="1">
      <c r="G504" s="3"/>
      <c r="N504" s="3">
        <f t="shared" si="5"/>
        <v>0</v>
      </c>
      <c r="P504" s="4">
        <v>0.0</v>
      </c>
      <c r="Q504" s="5"/>
      <c r="R504" s="5"/>
    </row>
    <row r="505" ht="31.5" customHeight="1">
      <c r="G505" s="3"/>
      <c r="N505" s="3">
        <f t="shared" si="5"/>
        <v>0</v>
      </c>
      <c r="P505" s="4">
        <v>0.0</v>
      </c>
      <c r="Q505" s="5"/>
      <c r="R505" s="5"/>
    </row>
    <row r="506" ht="31.5" customHeight="1">
      <c r="G506" s="3"/>
      <c r="N506" s="3">
        <f t="shared" si="5"/>
        <v>0</v>
      </c>
      <c r="P506" s="4">
        <v>0.0</v>
      </c>
      <c r="Q506" s="5"/>
      <c r="R506" s="5"/>
    </row>
    <row r="507" ht="31.5" customHeight="1">
      <c r="G507" s="3"/>
      <c r="N507" s="3">
        <f t="shared" si="5"/>
        <v>0</v>
      </c>
      <c r="P507" s="4">
        <v>0.0</v>
      </c>
      <c r="Q507" s="5"/>
      <c r="R507" s="5"/>
    </row>
    <row r="508" ht="31.5" customHeight="1">
      <c r="G508" s="3"/>
      <c r="N508" s="3">
        <f t="shared" si="5"/>
        <v>0</v>
      </c>
      <c r="P508" s="4">
        <v>0.0</v>
      </c>
      <c r="Q508" s="5"/>
      <c r="R508" s="5"/>
    </row>
    <row r="509" ht="31.5" customHeight="1">
      <c r="G509" s="3"/>
      <c r="N509" s="3">
        <f t="shared" si="5"/>
        <v>0</v>
      </c>
      <c r="P509" s="4">
        <v>0.0</v>
      </c>
      <c r="Q509" s="5"/>
      <c r="R509" s="5"/>
    </row>
    <row r="510" ht="31.5" customHeight="1">
      <c r="G510" s="3"/>
      <c r="N510" s="3">
        <f t="shared" si="5"/>
        <v>0</v>
      </c>
      <c r="P510" s="4">
        <v>0.0</v>
      </c>
      <c r="Q510" s="5"/>
      <c r="R510" s="5"/>
    </row>
    <row r="511" ht="31.5" customHeight="1">
      <c r="G511" s="3"/>
      <c r="N511" s="3">
        <f t="shared" si="5"/>
        <v>0</v>
      </c>
      <c r="P511" s="4">
        <v>0.0</v>
      </c>
      <c r="Q511" s="5"/>
      <c r="R511" s="5"/>
    </row>
    <row r="512" ht="31.5" customHeight="1">
      <c r="G512" s="3"/>
      <c r="N512" s="3">
        <f t="shared" si="5"/>
        <v>0</v>
      </c>
      <c r="P512" s="4">
        <v>0.0</v>
      </c>
      <c r="Q512" s="5"/>
      <c r="R512" s="5"/>
    </row>
    <row r="513" ht="31.5" customHeight="1">
      <c r="G513" s="3"/>
      <c r="N513" s="3">
        <f t="shared" si="5"/>
        <v>0</v>
      </c>
      <c r="P513" s="4">
        <v>0.0</v>
      </c>
      <c r="Q513" s="5"/>
      <c r="R513" s="5"/>
    </row>
    <row r="514" ht="31.5" customHeight="1">
      <c r="G514" s="3"/>
      <c r="N514" s="3">
        <f t="shared" si="5"/>
        <v>0</v>
      </c>
      <c r="P514" s="4">
        <v>0.0</v>
      </c>
      <c r="Q514" s="5"/>
      <c r="R514" s="5"/>
    </row>
    <row r="515" ht="31.5" customHeight="1">
      <c r="G515" s="3"/>
      <c r="N515" s="3">
        <f t="shared" si="5"/>
        <v>0</v>
      </c>
      <c r="P515" s="4">
        <v>0.0</v>
      </c>
      <c r="Q515" s="5"/>
      <c r="R515" s="5"/>
    </row>
    <row r="516" ht="31.5" customHeight="1">
      <c r="G516" s="3"/>
      <c r="N516" s="3">
        <f t="shared" si="5"/>
        <v>0</v>
      </c>
      <c r="P516" s="4">
        <v>0.0</v>
      </c>
      <c r="Q516" s="5"/>
      <c r="R516" s="5"/>
    </row>
    <row r="517" ht="31.5" customHeight="1">
      <c r="G517" s="3"/>
      <c r="N517" s="3">
        <f t="shared" si="5"/>
        <v>0</v>
      </c>
      <c r="P517" s="4">
        <v>0.0</v>
      </c>
      <c r="Q517" s="5"/>
      <c r="R517" s="5"/>
    </row>
    <row r="518" ht="31.5" customHeight="1">
      <c r="G518" s="3"/>
      <c r="N518" s="3">
        <f t="shared" si="5"/>
        <v>0</v>
      </c>
      <c r="P518" s="4">
        <v>0.0</v>
      </c>
      <c r="Q518" s="5"/>
      <c r="R518" s="5"/>
    </row>
    <row r="519" ht="31.5" customHeight="1">
      <c r="G519" s="3"/>
      <c r="N519" s="3">
        <f t="shared" si="5"/>
        <v>0</v>
      </c>
      <c r="P519" s="4">
        <v>0.0</v>
      </c>
      <c r="Q519" s="5"/>
      <c r="R519" s="5"/>
    </row>
    <row r="520" ht="31.5" customHeight="1">
      <c r="G520" s="3"/>
      <c r="N520" s="3">
        <f t="shared" si="5"/>
        <v>0</v>
      </c>
      <c r="P520" s="4">
        <v>0.0</v>
      </c>
      <c r="Q520" s="5"/>
      <c r="R520" s="5"/>
    </row>
    <row r="521" ht="31.5" customHeight="1">
      <c r="G521" s="3"/>
      <c r="N521" s="3">
        <f t="shared" si="5"/>
        <v>0</v>
      </c>
      <c r="P521" s="4">
        <v>0.0</v>
      </c>
      <c r="Q521" s="5"/>
      <c r="R521" s="5"/>
    </row>
    <row r="522" ht="31.5" customHeight="1">
      <c r="G522" s="3"/>
      <c r="N522" s="3">
        <f t="shared" si="5"/>
        <v>0</v>
      </c>
      <c r="P522" s="4">
        <v>0.0</v>
      </c>
      <c r="Q522" s="5"/>
      <c r="R522" s="5"/>
    </row>
    <row r="523" ht="31.5" customHeight="1">
      <c r="G523" s="3"/>
      <c r="N523" s="3">
        <f t="shared" si="5"/>
        <v>0</v>
      </c>
      <c r="P523" s="4">
        <v>0.0</v>
      </c>
      <c r="Q523" s="5"/>
      <c r="R523" s="5"/>
    </row>
    <row r="524" ht="31.5" customHeight="1">
      <c r="G524" s="3"/>
      <c r="N524" s="3">
        <f t="shared" si="5"/>
        <v>0</v>
      </c>
      <c r="P524" s="4">
        <v>0.0</v>
      </c>
      <c r="Q524" s="5"/>
      <c r="R524" s="5"/>
    </row>
    <row r="525" ht="31.5" customHeight="1">
      <c r="G525" s="3"/>
      <c r="N525" s="3">
        <f t="shared" si="5"/>
        <v>0</v>
      </c>
      <c r="P525" s="4">
        <v>0.0</v>
      </c>
      <c r="Q525" s="5"/>
      <c r="R525" s="5"/>
    </row>
    <row r="526" ht="31.5" customHeight="1">
      <c r="G526" s="3"/>
      <c r="N526" s="3">
        <f t="shared" si="5"/>
        <v>0</v>
      </c>
      <c r="P526" s="4">
        <v>0.0</v>
      </c>
      <c r="Q526" s="5"/>
      <c r="R526" s="5"/>
    </row>
    <row r="527" ht="31.5" customHeight="1">
      <c r="G527" s="3"/>
      <c r="N527" s="3">
        <f t="shared" si="5"/>
        <v>0</v>
      </c>
      <c r="P527" s="4">
        <v>0.0</v>
      </c>
      <c r="Q527" s="5"/>
      <c r="R527" s="5"/>
    </row>
    <row r="528" ht="31.5" customHeight="1">
      <c r="G528" s="3"/>
      <c r="N528" s="3">
        <f t="shared" si="5"/>
        <v>0</v>
      </c>
      <c r="P528" s="4">
        <v>0.0</v>
      </c>
      <c r="Q528" s="5"/>
      <c r="R528" s="5"/>
    </row>
    <row r="529" ht="31.5" customHeight="1">
      <c r="G529" s="3"/>
      <c r="N529" s="3">
        <f t="shared" si="5"/>
        <v>0</v>
      </c>
      <c r="P529" s="4">
        <v>0.0</v>
      </c>
      <c r="Q529" s="5"/>
      <c r="R529" s="5"/>
    </row>
    <row r="530" ht="31.5" customHeight="1">
      <c r="G530" s="3"/>
      <c r="N530" s="3">
        <f t="shared" si="5"/>
        <v>0</v>
      </c>
      <c r="P530" s="4">
        <v>0.0</v>
      </c>
      <c r="Q530" s="5"/>
      <c r="R530" s="5"/>
    </row>
    <row r="531" ht="31.5" customHeight="1">
      <c r="G531" s="3"/>
      <c r="N531" s="3">
        <f t="shared" si="5"/>
        <v>0</v>
      </c>
      <c r="P531" s="4">
        <v>0.0</v>
      </c>
      <c r="Q531" s="5"/>
      <c r="R531" s="5"/>
    </row>
    <row r="532" ht="31.5" customHeight="1">
      <c r="G532" s="3"/>
      <c r="N532" s="3">
        <f t="shared" si="5"/>
        <v>0</v>
      </c>
      <c r="P532" s="4">
        <v>0.0</v>
      </c>
      <c r="Q532" s="5"/>
      <c r="R532" s="5"/>
    </row>
    <row r="533" ht="31.5" customHeight="1">
      <c r="G533" s="3"/>
      <c r="N533" s="3">
        <f t="shared" si="5"/>
        <v>0</v>
      </c>
      <c r="P533" s="4">
        <v>0.0</v>
      </c>
      <c r="Q533" s="5"/>
      <c r="R533" s="5"/>
    </row>
    <row r="534" ht="31.5" customHeight="1">
      <c r="G534" s="3"/>
      <c r="N534" s="3">
        <f t="shared" si="5"/>
        <v>0</v>
      </c>
      <c r="P534" s="4">
        <v>0.0</v>
      </c>
      <c r="Q534" s="5"/>
      <c r="R534" s="5"/>
    </row>
    <row r="535" ht="31.5" customHeight="1">
      <c r="G535" s="3"/>
      <c r="N535" s="3">
        <f t="shared" si="5"/>
        <v>0</v>
      </c>
      <c r="P535" s="4">
        <v>0.0</v>
      </c>
      <c r="Q535" s="5"/>
      <c r="R535" s="5"/>
    </row>
    <row r="536" ht="31.5" customHeight="1">
      <c r="G536" s="3"/>
      <c r="N536" s="3">
        <f t="shared" si="5"/>
        <v>0</v>
      </c>
      <c r="P536" s="4">
        <v>0.0</v>
      </c>
      <c r="Q536" s="5"/>
      <c r="R536" s="5"/>
    </row>
    <row r="537" ht="31.5" customHeight="1">
      <c r="G537" s="3"/>
      <c r="N537" s="3">
        <f t="shared" si="5"/>
        <v>0</v>
      </c>
      <c r="P537" s="4">
        <v>0.0</v>
      </c>
      <c r="Q537" s="5"/>
      <c r="R537" s="5"/>
    </row>
    <row r="538" ht="31.5" customHeight="1">
      <c r="G538" s="3"/>
      <c r="N538" s="3">
        <f t="shared" si="5"/>
        <v>0</v>
      </c>
      <c r="P538" s="4">
        <v>0.0</v>
      </c>
      <c r="Q538" s="5"/>
      <c r="R538" s="5"/>
    </row>
    <row r="539" ht="31.5" customHeight="1">
      <c r="G539" s="3"/>
      <c r="N539" s="3">
        <f t="shared" si="5"/>
        <v>0</v>
      </c>
      <c r="P539" s="4">
        <v>0.0</v>
      </c>
      <c r="Q539" s="5"/>
      <c r="R539" s="5"/>
    </row>
    <row r="540" ht="31.5" customHeight="1">
      <c r="G540" s="3"/>
      <c r="N540" s="3">
        <f t="shared" si="5"/>
        <v>0</v>
      </c>
      <c r="P540" s="4">
        <v>0.0</v>
      </c>
      <c r="Q540" s="5"/>
      <c r="R540" s="5"/>
    </row>
    <row r="541" ht="31.5" customHeight="1">
      <c r="G541" s="3"/>
      <c r="N541" s="3">
        <f t="shared" si="5"/>
        <v>0</v>
      </c>
      <c r="P541" s="4">
        <v>0.0</v>
      </c>
      <c r="Q541" s="5"/>
      <c r="R541" s="5"/>
    </row>
    <row r="542" ht="31.5" customHeight="1">
      <c r="G542" s="3"/>
      <c r="N542" s="3">
        <f t="shared" si="5"/>
        <v>0</v>
      </c>
      <c r="P542" s="4">
        <v>0.0</v>
      </c>
      <c r="Q542" s="5"/>
      <c r="R542" s="5"/>
    </row>
    <row r="543" ht="31.5" customHeight="1">
      <c r="G543" s="3"/>
      <c r="N543" s="3">
        <f t="shared" si="5"/>
        <v>0</v>
      </c>
      <c r="P543" s="4">
        <v>0.0</v>
      </c>
      <c r="Q543" s="5"/>
      <c r="R543" s="5"/>
    </row>
    <row r="544" ht="31.5" customHeight="1">
      <c r="G544" s="3"/>
      <c r="N544" s="3">
        <f t="shared" si="5"/>
        <v>0</v>
      </c>
      <c r="P544" s="4">
        <v>0.0</v>
      </c>
      <c r="Q544" s="5"/>
      <c r="R544" s="5"/>
    </row>
    <row r="545" ht="31.5" customHeight="1">
      <c r="G545" s="3"/>
      <c r="N545" s="3">
        <f t="shared" si="5"/>
        <v>0</v>
      </c>
      <c r="P545" s="4">
        <v>0.0</v>
      </c>
      <c r="Q545" s="5"/>
      <c r="R545" s="5"/>
    </row>
    <row r="546" ht="31.5" customHeight="1">
      <c r="G546" s="3"/>
      <c r="N546" s="3">
        <f t="shared" si="5"/>
        <v>0</v>
      </c>
      <c r="P546" s="4">
        <v>0.0</v>
      </c>
      <c r="Q546" s="5"/>
      <c r="R546" s="5"/>
    </row>
    <row r="547" ht="31.5" customHeight="1">
      <c r="G547" s="3"/>
      <c r="N547" s="3">
        <f t="shared" si="5"/>
        <v>0</v>
      </c>
      <c r="P547" s="4">
        <v>0.0</v>
      </c>
      <c r="Q547" s="5"/>
      <c r="R547" s="5"/>
    </row>
    <row r="548" ht="31.5" customHeight="1">
      <c r="G548" s="3"/>
      <c r="N548" s="3">
        <f t="shared" si="5"/>
        <v>0</v>
      </c>
      <c r="P548" s="4">
        <v>0.0</v>
      </c>
      <c r="Q548" s="5"/>
      <c r="R548" s="5"/>
    </row>
    <row r="549" ht="31.5" customHeight="1">
      <c r="G549" s="3"/>
      <c r="N549" s="3">
        <f t="shared" si="5"/>
        <v>0</v>
      </c>
      <c r="P549" s="4">
        <v>0.0</v>
      </c>
      <c r="Q549" s="5"/>
      <c r="R549" s="5"/>
    </row>
    <row r="550" ht="31.5" customHeight="1">
      <c r="G550" s="3"/>
      <c r="N550" s="3">
        <f t="shared" si="5"/>
        <v>0</v>
      </c>
      <c r="P550" s="4">
        <v>0.0</v>
      </c>
      <c r="Q550" s="5"/>
      <c r="R550" s="5"/>
    </row>
    <row r="551" ht="31.5" customHeight="1">
      <c r="G551" s="3"/>
      <c r="N551" s="3">
        <f t="shared" si="5"/>
        <v>0</v>
      </c>
      <c r="P551" s="4">
        <v>0.0</v>
      </c>
      <c r="Q551" s="5"/>
      <c r="R551" s="5"/>
    </row>
    <row r="552" ht="31.5" customHeight="1">
      <c r="G552" s="3"/>
      <c r="N552" s="3">
        <f t="shared" si="5"/>
        <v>0</v>
      </c>
      <c r="P552" s="4">
        <v>0.0</v>
      </c>
      <c r="Q552" s="5"/>
      <c r="R552" s="5"/>
    </row>
    <row r="553" ht="31.5" customHeight="1">
      <c r="G553" s="3"/>
      <c r="N553" s="3">
        <f t="shared" si="5"/>
        <v>0</v>
      </c>
      <c r="P553" s="4">
        <v>0.0</v>
      </c>
      <c r="Q553" s="5"/>
      <c r="R553" s="5"/>
    </row>
    <row r="554" ht="31.5" customHeight="1">
      <c r="G554" s="3"/>
      <c r="N554" s="3">
        <f t="shared" si="5"/>
        <v>0</v>
      </c>
      <c r="P554" s="4">
        <v>0.0</v>
      </c>
      <c r="Q554" s="5"/>
      <c r="R554" s="5"/>
    </row>
    <row r="555" ht="31.5" customHeight="1">
      <c r="G555" s="3"/>
      <c r="N555" s="3">
        <f t="shared" si="5"/>
        <v>0</v>
      </c>
      <c r="P555" s="4">
        <v>0.0</v>
      </c>
      <c r="Q555" s="5"/>
      <c r="R555" s="5"/>
    </row>
    <row r="556" ht="31.5" customHeight="1">
      <c r="G556" s="3"/>
      <c r="N556" s="3">
        <f t="shared" si="5"/>
        <v>0</v>
      </c>
      <c r="P556" s="4">
        <v>0.0</v>
      </c>
      <c r="Q556" s="5"/>
      <c r="R556" s="5"/>
    </row>
    <row r="557" ht="31.5" customHeight="1">
      <c r="G557" s="3"/>
      <c r="N557" s="3">
        <f t="shared" si="5"/>
        <v>0</v>
      </c>
      <c r="P557" s="4">
        <v>0.0</v>
      </c>
      <c r="Q557" s="5"/>
      <c r="R557" s="5"/>
    </row>
    <row r="558" ht="31.5" customHeight="1">
      <c r="G558" s="3"/>
      <c r="N558" s="3">
        <f t="shared" si="5"/>
        <v>0</v>
      </c>
      <c r="P558" s="4">
        <v>0.0</v>
      </c>
      <c r="Q558" s="5"/>
      <c r="R558" s="5"/>
    </row>
    <row r="559" ht="31.5" customHeight="1">
      <c r="G559" s="3"/>
      <c r="N559" s="3">
        <f t="shared" si="5"/>
        <v>0</v>
      </c>
      <c r="P559" s="4">
        <v>0.0</v>
      </c>
      <c r="Q559" s="5"/>
      <c r="R559" s="5"/>
    </row>
    <row r="560" ht="31.5" customHeight="1">
      <c r="G560" s="3"/>
      <c r="N560" s="3">
        <f t="shared" si="5"/>
        <v>0</v>
      </c>
      <c r="P560" s="4">
        <v>0.0</v>
      </c>
      <c r="Q560" s="5"/>
      <c r="R560" s="5"/>
    </row>
    <row r="561" ht="31.5" customHeight="1">
      <c r="G561" s="3"/>
      <c r="N561" s="3">
        <f t="shared" si="5"/>
        <v>0</v>
      </c>
      <c r="P561" s="4">
        <v>0.0</v>
      </c>
      <c r="Q561" s="5"/>
      <c r="R561" s="5"/>
    </row>
    <row r="562" ht="31.5" customHeight="1">
      <c r="G562" s="3"/>
      <c r="N562" s="3">
        <f t="shared" si="5"/>
        <v>0</v>
      </c>
      <c r="P562" s="4">
        <v>0.0</v>
      </c>
      <c r="Q562" s="5"/>
      <c r="R562" s="5"/>
    </row>
    <row r="563" ht="31.5" customHeight="1">
      <c r="G563" s="3"/>
      <c r="N563" s="3">
        <f t="shared" si="5"/>
        <v>0</v>
      </c>
      <c r="P563" s="4">
        <v>0.0</v>
      </c>
      <c r="Q563" s="5"/>
      <c r="R563" s="5"/>
    </row>
    <row r="564" ht="31.5" customHeight="1">
      <c r="G564" s="3"/>
      <c r="N564" s="3">
        <f t="shared" si="5"/>
        <v>0</v>
      </c>
      <c r="P564" s="4">
        <v>0.0</v>
      </c>
      <c r="Q564" s="5"/>
      <c r="R564" s="5"/>
    </row>
    <row r="565" ht="31.5" customHeight="1">
      <c r="G565" s="3"/>
      <c r="N565" s="3">
        <f t="shared" si="5"/>
        <v>0</v>
      </c>
      <c r="P565" s="4">
        <v>0.0</v>
      </c>
      <c r="Q565" s="5"/>
      <c r="R565" s="5"/>
    </row>
    <row r="566" ht="31.5" customHeight="1">
      <c r="G566" s="3"/>
      <c r="N566" s="3">
        <f t="shared" si="5"/>
        <v>0</v>
      </c>
      <c r="P566" s="4">
        <v>0.0</v>
      </c>
      <c r="Q566" s="5"/>
      <c r="R566" s="5"/>
    </row>
    <row r="567" ht="31.5" customHeight="1">
      <c r="G567" s="3"/>
      <c r="N567" s="3">
        <f t="shared" si="5"/>
        <v>0</v>
      </c>
      <c r="P567" s="4">
        <v>0.0</v>
      </c>
      <c r="Q567" s="5"/>
      <c r="R567" s="5"/>
    </row>
    <row r="568" ht="31.5" customHeight="1">
      <c r="G568" s="3"/>
      <c r="N568" s="3">
        <f t="shared" si="5"/>
        <v>0</v>
      </c>
      <c r="P568" s="4">
        <v>0.0</v>
      </c>
      <c r="Q568" s="5"/>
      <c r="R568" s="5"/>
    </row>
    <row r="569" ht="31.5" customHeight="1">
      <c r="G569" s="3"/>
      <c r="N569" s="3">
        <f t="shared" si="5"/>
        <v>0</v>
      </c>
      <c r="P569" s="4">
        <v>0.0</v>
      </c>
      <c r="Q569" s="5"/>
      <c r="R569" s="5"/>
    </row>
    <row r="570" ht="31.5" customHeight="1">
      <c r="G570" s="3"/>
      <c r="N570" s="3">
        <f t="shared" si="5"/>
        <v>0</v>
      </c>
      <c r="P570" s="4">
        <v>0.0</v>
      </c>
      <c r="Q570" s="5"/>
      <c r="R570" s="5"/>
    </row>
    <row r="571" ht="31.5" customHeight="1">
      <c r="G571" s="3"/>
      <c r="N571" s="3">
        <f t="shared" si="5"/>
        <v>0</v>
      </c>
      <c r="P571" s="4">
        <v>0.0</v>
      </c>
      <c r="Q571" s="5"/>
      <c r="R571" s="5"/>
    </row>
    <row r="572" ht="31.5" customHeight="1">
      <c r="G572" s="3"/>
      <c r="N572" s="3">
        <f t="shared" si="5"/>
        <v>0</v>
      </c>
      <c r="P572" s="4">
        <v>0.0</v>
      </c>
      <c r="Q572" s="5"/>
      <c r="R572" s="5"/>
    </row>
    <row r="573" ht="31.5" customHeight="1">
      <c r="G573" s="3"/>
      <c r="N573" s="3">
        <f t="shared" si="5"/>
        <v>0</v>
      </c>
      <c r="P573" s="4">
        <v>0.0</v>
      </c>
      <c r="Q573" s="5"/>
      <c r="R573" s="5"/>
    </row>
    <row r="574" ht="31.5" customHeight="1">
      <c r="G574" s="3"/>
      <c r="N574" s="3">
        <f t="shared" si="5"/>
        <v>0</v>
      </c>
      <c r="P574" s="4">
        <v>0.0</v>
      </c>
      <c r="Q574" s="5"/>
      <c r="R574" s="5"/>
    </row>
    <row r="575" ht="31.5" customHeight="1">
      <c r="G575" s="3"/>
      <c r="N575" s="3">
        <f t="shared" si="5"/>
        <v>0</v>
      </c>
      <c r="P575" s="4">
        <v>0.0</v>
      </c>
      <c r="Q575" s="5"/>
      <c r="R575" s="5"/>
    </row>
    <row r="576" ht="31.5" customHeight="1">
      <c r="G576" s="3"/>
      <c r="N576" s="3">
        <f t="shared" si="5"/>
        <v>0</v>
      </c>
      <c r="P576" s="4">
        <v>0.0</v>
      </c>
      <c r="Q576" s="5"/>
      <c r="R576" s="5"/>
    </row>
    <row r="577" ht="31.5" customHeight="1">
      <c r="G577" s="3"/>
      <c r="N577" s="3">
        <f t="shared" si="5"/>
        <v>0</v>
      </c>
      <c r="P577" s="4">
        <v>0.0</v>
      </c>
      <c r="Q577" s="5"/>
      <c r="R577" s="5"/>
    </row>
    <row r="578" ht="31.5" customHeight="1">
      <c r="G578" s="3"/>
      <c r="N578" s="3">
        <f t="shared" si="5"/>
        <v>0</v>
      </c>
      <c r="P578" s="4">
        <v>0.0</v>
      </c>
      <c r="Q578" s="5"/>
      <c r="R578" s="5"/>
    </row>
    <row r="579" ht="31.5" customHeight="1">
      <c r="G579" s="3"/>
      <c r="N579" s="3">
        <f t="shared" si="5"/>
        <v>0</v>
      </c>
      <c r="P579" s="4">
        <v>0.0</v>
      </c>
      <c r="Q579" s="5"/>
      <c r="R579" s="5"/>
    </row>
    <row r="580" ht="31.5" customHeight="1">
      <c r="G580" s="3"/>
      <c r="N580" s="3">
        <f t="shared" si="5"/>
        <v>0</v>
      </c>
      <c r="P580" s="4">
        <v>0.0</v>
      </c>
      <c r="Q580" s="5"/>
      <c r="R580" s="5"/>
    </row>
    <row r="581" ht="31.5" customHeight="1">
      <c r="G581" s="3"/>
      <c r="N581" s="3">
        <f t="shared" si="5"/>
        <v>0</v>
      </c>
      <c r="P581" s="4">
        <v>0.0</v>
      </c>
      <c r="Q581" s="5"/>
      <c r="R581" s="5"/>
    </row>
    <row r="582" ht="31.5" customHeight="1">
      <c r="G582" s="3"/>
      <c r="N582" s="3">
        <f t="shared" si="5"/>
        <v>0</v>
      </c>
      <c r="P582" s="4">
        <v>0.0</v>
      </c>
      <c r="Q582" s="5"/>
      <c r="R582" s="5"/>
    </row>
    <row r="583" ht="31.5" customHeight="1">
      <c r="G583" s="3"/>
      <c r="N583" s="3">
        <f t="shared" si="5"/>
        <v>0</v>
      </c>
      <c r="P583" s="4">
        <v>0.0</v>
      </c>
      <c r="Q583" s="5"/>
      <c r="R583" s="5"/>
    </row>
    <row r="584" ht="31.5" customHeight="1">
      <c r="G584" s="3"/>
      <c r="N584" s="3">
        <f t="shared" si="5"/>
        <v>0</v>
      </c>
      <c r="P584" s="4">
        <v>0.0</v>
      </c>
      <c r="Q584" s="5"/>
      <c r="R584" s="5"/>
    </row>
    <row r="585" ht="31.5" customHeight="1">
      <c r="G585" s="3"/>
      <c r="N585" s="3">
        <f t="shared" si="5"/>
        <v>0</v>
      </c>
      <c r="P585" s="4">
        <v>0.0</v>
      </c>
      <c r="Q585" s="5"/>
      <c r="R585" s="5"/>
    </row>
    <row r="586" ht="31.5" customHeight="1">
      <c r="G586" s="3"/>
      <c r="N586" s="3">
        <f t="shared" si="5"/>
        <v>0</v>
      </c>
      <c r="P586" s="4">
        <v>0.0</v>
      </c>
      <c r="Q586" s="5"/>
      <c r="R586" s="5"/>
    </row>
    <row r="587" ht="31.5" customHeight="1">
      <c r="G587" s="3"/>
      <c r="N587" s="3">
        <f t="shared" si="5"/>
        <v>0</v>
      </c>
      <c r="P587" s="4">
        <v>0.0</v>
      </c>
      <c r="Q587" s="5"/>
      <c r="R587" s="5"/>
    </row>
    <row r="588" ht="31.5" customHeight="1">
      <c r="G588" s="3"/>
      <c r="N588" s="3">
        <f t="shared" si="5"/>
        <v>0</v>
      </c>
      <c r="P588" s="4">
        <v>0.0</v>
      </c>
      <c r="Q588" s="5"/>
      <c r="R588" s="5"/>
    </row>
    <row r="589" ht="31.5" customHeight="1">
      <c r="G589" s="3"/>
      <c r="N589" s="3">
        <f t="shared" si="5"/>
        <v>0</v>
      </c>
      <c r="P589" s="4">
        <v>0.0</v>
      </c>
      <c r="Q589" s="5"/>
      <c r="R589" s="5"/>
    </row>
    <row r="590" ht="31.5" customHeight="1">
      <c r="G590" s="3"/>
      <c r="N590" s="3">
        <f t="shared" si="5"/>
        <v>0</v>
      </c>
      <c r="P590" s="4">
        <v>0.0</v>
      </c>
      <c r="Q590" s="5"/>
      <c r="R590" s="5"/>
    </row>
    <row r="591" ht="31.5" customHeight="1">
      <c r="G591" s="3"/>
      <c r="N591" s="3">
        <f t="shared" si="5"/>
        <v>0</v>
      </c>
      <c r="P591" s="4">
        <v>0.0</v>
      </c>
      <c r="Q591" s="5"/>
      <c r="R591" s="5"/>
    </row>
    <row r="592" ht="31.5" customHeight="1">
      <c r="G592" s="3"/>
      <c r="N592" s="3">
        <f t="shared" si="5"/>
        <v>0</v>
      </c>
      <c r="P592" s="4">
        <v>0.0</v>
      </c>
      <c r="Q592" s="5"/>
      <c r="R592" s="5"/>
    </row>
    <row r="593" ht="31.5" customHeight="1">
      <c r="G593" s="3"/>
      <c r="N593" s="3">
        <f t="shared" si="5"/>
        <v>0</v>
      </c>
      <c r="P593" s="4">
        <v>0.0</v>
      </c>
      <c r="Q593" s="5"/>
      <c r="R593" s="5"/>
    </row>
    <row r="594" ht="31.5" customHeight="1">
      <c r="G594" s="3"/>
      <c r="N594" s="3">
        <f t="shared" si="5"/>
        <v>0</v>
      </c>
      <c r="P594" s="4">
        <v>0.0</v>
      </c>
      <c r="Q594" s="5"/>
      <c r="R594" s="5"/>
    </row>
    <row r="595" ht="31.5" customHeight="1">
      <c r="G595" s="3"/>
      <c r="N595" s="3">
        <f t="shared" si="5"/>
        <v>0</v>
      </c>
      <c r="P595" s="4">
        <v>0.0</v>
      </c>
      <c r="Q595" s="5"/>
      <c r="R595" s="5"/>
    </row>
    <row r="596" ht="31.5" customHeight="1">
      <c r="G596" s="3"/>
      <c r="N596" s="3">
        <f t="shared" si="5"/>
        <v>0</v>
      </c>
      <c r="P596" s="4">
        <v>0.0</v>
      </c>
      <c r="Q596" s="5"/>
      <c r="R596" s="5"/>
    </row>
    <row r="597" ht="31.5" customHeight="1">
      <c r="G597" s="3"/>
      <c r="N597" s="3">
        <f t="shared" si="5"/>
        <v>0</v>
      </c>
      <c r="P597" s="4">
        <v>0.0</v>
      </c>
      <c r="Q597" s="5"/>
      <c r="R597" s="5"/>
    </row>
    <row r="598" ht="31.5" customHeight="1">
      <c r="G598" s="3"/>
      <c r="N598" s="3">
        <f t="shared" si="5"/>
        <v>0</v>
      </c>
      <c r="P598" s="4">
        <v>0.0</v>
      </c>
      <c r="Q598" s="5"/>
      <c r="R598" s="5"/>
    </row>
    <row r="599" ht="31.5" customHeight="1">
      <c r="G599" s="3"/>
      <c r="N599" s="3">
        <f t="shared" si="5"/>
        <v>0</v>
      </c>
      <c r="P599" s="4">
        <v>0.0</v>
      </c>
      <c r="Q599" s="5"/>
      <c r="R599" s="5"/>
    </row>
    <row r="600" ht="31.5" customHeight="1">
      <c r="G600" s="3"/>
      <c r="N600" s="3">
        <f t="shared" si="5"/>
        <v>0</v>
      </c>
      <c r="P600" s="4">
        <v>0.0</v>
      </c>
      <c r="Q600" s="5"/>
      <c r="R600" s="5"/>
    </row>
    <row r="601" ht="31.5" customHeight="1">
      <c r="G601" s="3"/>
      <c r="N601" s="3">
        <f t="shared" si="5"/>
        <v>0</v>
      </c>
      <c r="P601" s="4">
        <v>0.0</v>
      </c>
      <c r="Q601" s="5"/>
      <c r="R601" s="5"/>
    </row>
    <row r="602" ht="31.5" customHeight="1">
      <c r="G602" s="3"/>
      <c r="N602" s="3">
        <f t="shared" si="5"/>
        <v>0</v>
      </c>
      <c r="P602" s="4">
        <v>0.0</v>
      </c>
      <c r="Q602" s="5"/>
      <c r="R602" s="5"/>
    </row>
    <row r="603" ht="31.5" customHeight="1">
      <c r="G603" s="3"/>
      <c r="N603" s="3">
        <f t="shared" si="5"/>
        <v>0</v>
      </c>
      <c r="P603" s="4">
        <v>0.0</v>
      </c>
      <c r="Q603" s="5"/>
      <c r="R603" s="5"/>
    </row>
    <row r="604" ht="31.5" customHeight="1">
      <c r="G604" s="3"/>
      <c r="N604" s="3">
        <f t="shared" si="5"/>
        <v>0</v>
      </c>
      <c r="P604" s="4">
        <v>0.0</v>
      </c>
      <c r="Q604" s="5"/>
      <c r="R604" s="5"/>
    </row>
    <row r="605" ht="31.5" customHeight="1">
      <c r="G605" s="3"/>
      <c r="N605" s="3">
        <f t="shared" si="5"/>
        <v>0</v>
      </c>
      <c r="P605" s="4">
        <v>0.0</v>
      </c>
      <c r="Q605" s="5"/>
      <c r="R605" s="5"/>
    </row>
    <row r="606" ht="31.5" customHeight="1">
      <c r="G606" s="3"/>
      <c r="N606" s="3">
        <f t="shared" si="5"/>
        <v>0</v>
      </c>
      <c r="P606" s="4">
        <v>0.0</v>
      </c>
      <c r="Q606" s="5"/>
      <c r="R606" s="5"/>
    </row>
    <row r="607" ht="31.5" customHeight="1">
      <c r="G607" s="3"/>
      <c r="N607" s="3">
        <f t="shared" si="5"/>
        <v>0</v>
      </c>
      <c r="P607" s="4">
        <v>0.0</v>
      </c>
      <c r="Q607" s="5"/>
      <c r="R607" s="5"/>
    </row>
    <row r="608" ht="31.5" customHeight="1">
      <c r="G608" s="3"/>
      <c r="N608" s="3">
        <f t="shared" si="5"/>
        <v>0</v>
      </c>
      <c r="P608" s="4">
        <v>0.0</v>
      </c>
      <c r="Q608" s="5"/>
      <c r="R608" s="5"/>
    </row>
    <row r="609" ht="31.5" customHeight="1">
      <c r="G609" s="3"/>
      <c r="N609" s="3">
        <f t="shared" si="5"/>
        <v>0</v>
      </c>
      <c r="P609" s="4">
        <v>0.0</v>
      </c>
      <c r="Q609" s="5"/>
      <c r="R609" s="5"/>
    </row>
    <row r="610" ht="31.5" customHeight="1">
      <c r="G610" s="3"/>
      <c r="N610" s="3">
        <f t="shared" si="5"/>
        <v>0</v>
      </c>
      <c r="P610" s="4">
        <v>0.0</v>
      </c>
      <c r="Q610" s="5"/>
      <c r="R610" s="5"/>
    </row>
    <row r="611" ht="31.5" customHeight="1">
      <c r="G611" s="3"/>
      <c r="N611" s="3">
        <f t="shared" si="5"/>
        <v>0</v>
      </c>
      <c r="P611" s="4">
        <v>0.0</v>
      </c>
      <c r="Q611" s="5"/>
      <c r="R611" s="5"/>
    </row>
    <row r="612" ht="31.5" customHeight="1">
      <c r="G612" s="3"/>
      <c r="N612" s="3">
        <f t="shared" si="5"/>
        <v>0</v>
      </c>
      <c r="P612" s="4">
        <v>0.0</v>
      </c>
      <c r="Q612" s="5"/>
      <c r="R612" s="5"/>
    </row>
    <row r="613" ht="31.5" customHeight="1">
      <c r="G613" s="3"/>
      <c r="N613" s="3">
        <f t="shared" si="5"/>
        <v>0</v>
      </c>
      <c r="P613" s="4">
        <v>0.0</v>
      </c>
      <c r="Q613" s="5"/>
      <c r="R613" s="5"/>
    </row>
    <row r="614" ht="31.5" customHeight="1">
      <c r="G614" s="3"/>
      <c r="N614" s="3">
        <f t="shared" si="5"/>
        <v>0</v>
      </c>
      <c r="P614" s="4">
        <v>0.0</v>
      </c>
      <c r="Q614" s="5"/>
      <c r="R614" s="5"/>
    </row>
    <row r="615" ht="31.5" customHeight="1">
      <c r="G615" s="3"/>
      <c r="N615" s="3">
        <f t="shared" si="5"/>
        <v>0</v>
      </c>
      <c r="P615" s="4">
        <v>0.0</v>
      </c>
      <c r="Q615" s="5"/>
      <c r="R615" s="5"/>
    </row>
    <row r="616" ht="31.5" customHeight="1">
      <c r="G616" s="3"/>
      <c r="N616" s="3">
        <f t="shared" si="5"/>
        <v>0</v>
      </c>
      <c r="P616" s="4">
        <v>0.0</v>
      </c>
      <c r="Q616" s="5"/>
      <c r="R616" s="5"/>
    </row>
    <row r="617" ht="31.5" customHeight="1">
      <c r="G617" s="3"/>
      <c r="N617" s="3">
        <f t="shared" si="5"/>
        <v>0</v>
      </c>
      <c r="P617" s="4">
        <v>0.0</v>
      </c>
      <c r="Q617" s="5"/>
      <c r="R617" s="5"/>
    </row>
    <row r="618" ht="31.5" customHeight="1">
      <c r="G618" s="3"/>
      <c r="N618" s="3">
        <f t="shared" si="5"/>
        <v>0</v>
      </c>
      <c r="P618" s="4">
        <v>0.0</v>
      </c>
      <c r="Q618" s="5"/>
      <c r="R618" s="5"/>
    </row>
    <row r="619" ht="31.5" customHeight="1">
      <c r="G619" s="3"/>
      <c r="N619" s="3">
        <f t="shared" si="5"/>
        <v>0</v>
      </c>
      <c r="P619" s="4">
        <v>0.0</v>
      </c>
      <c r="Q619" s="5"/>
      <c r="R619" s="5"/>
    </row>
    <row r="620" ht="31.5" customHeight="1">
      <c r="G620" s="3"/>
      <c r="N620" s="3">
        <f t="shared" si="5"/>
        <v>0</v>
      </c>
      <c r="P620" s="4">
        <v>0.0</v>
      </c>
      <c r="Q620" s="5"/>
      <c r="R620" s="5"/>
    </row>
    <row r="621" ht="31.5" customHeight="1">
      <c r="G621" s="3"/>
      <c r="N621" s="3">
        <f t="shared" si="5"/>
        <v>0</v>
      </c>
      <c r="P621" s="4">
        <v>0.0</v>
      </c>
      <c r="Q621" s="5"/>
      <c r="R621" s="5"/>
    </row>
    <row r="622" ht="31.5" customHeight="1">
      <c r="G622" s="3"/>
      <c r="N622" s="3">
        <f t="shared" si="5"/>
        <v>0</v>
      </c>
      <c r="P622" s="4">
        <v>0.0</v>
      </c>
      <c r="Q622" s="5"/>
      <c r="R622" s="5"/>
    </row>
    <row r="623" ht="31.5" customHeight="1">
      <c r="G623" s="3"/>
      <c r="N623" s="3">
        <f t="shared" si="5"/>
        <v>0</v>
      </c>
      <c r="P623" s="4">
        <v>0.0</v>
      </c>
      <c r="Q623" s="5"/>
      <c r="R623" s="5"/>
    </row>
    <row r="624" ht="31.5" customHeight="1">
      <c r="G624" s="3"/>
      <c r="N624" s="3">
        <f t="shared" si="5"/>
        <v>0</v>
      </c>
      <c r="P624" s="4">
        <v>0.0</v>
      </c>
      <c r="Q624" s="5"/>
      <c r="R624" s="5"/>
    </row>
    <row r="625" ht="31.5" customHeight="1">
      <c r="G625" s="3"/>
      <c r="N625" s="3">
        <f t="shared" si="5"/>
        <v>0</v>
      </c>
      <c r="P625" s="4">
        <v>0.0</v>
      </c>
      <c r="Q625" s="5"/>
      <c r="R625" s="5"/>
    </row>
    <row r="626" ht="31.5" customHeight="1">
      <c r="G626" s="3"/>
      <c r="N626" s="3">
        <f t="shared" si="5"/>
        <v>0</v>
      </c>
      <c r="P626" s="4">
        <v>0.0</v>
      </c>
      <c r="Q626" s="5"/>
      <c r="R626" s="5"/>
    </row>
    <row r="627" ht="31.5" customHeight="1">
      <c r="G627" s="3"/>
      <c r="N627" s="3">
        <f t="shared" si="5"/>
        <v>0</v>
      </c>
      <c r="P627" s="4">
        <v>0.0</v>
      </c>
      <c r="Q627" s="5"/>
      <c r="R627" s="5"/>
    </row>
    <row r="628" ht="31.5" customHeight="1">
      <c r="G628" s="3"/>
      <c r="N628" s="3">
        <f t="shared" si="5"/>
        <v>0</v>
      </c>
      <c r="P628" s="4">
        <v>0.0</v>
      </c>
      <c r="Q628" s="5"/>
      <c r="R628" s="5"/>
    </row>
    <row r="629" ht="31.5" customHeight="1">
      <c r="G629" s="3"/>
      <c r="N629" s="3">
        <f t="shared" si="5"/>
        <v>0</v>
      </c>
      <c r="P629" s="4">
        <v>0.0</v>
      </c>
      <c r="Q629" s="5"/>
      <c r="R629" s="5"/>
    </row>
    <row r="630" ht="31.5" customHeight="1">
      <c r="G630" s="3"/>
      <c r="N630" s="3">
        <f t="shared" si="5"/>
        <v>0</v>
      </c>
      <c r="P630" s="4">
        <v>0.0</v>
      </c>
      <c r="Q630" s="5"/>
      <c r="R630" s="5"/>
    </row>
    <row r="631" ht="31.5" customHeight="1">
      <c r="G631" s="3"/>
      <c r="N631" s="3">
        <f t="shared" si="5"/>
        <v>0</v>
      </c>
      <c r="P631" s="4">
        <v>0.0</v>
      </c>
      <c r="Q631" s="5"/>
      <c r="R631" s="5"/>
    </row>
    <row r="632" ht="31.5" customHeight="1">
      <c r="G632" s="3"/>
      <c r="N632" s="3">
        <f t="shared" si="5"/>
        <v>0</v>
      </c>
      <c r="P632" s="4">
        <v>0.0</v>
      </c>
      <c r="Q632" s="5"/>
      <c r="R632" s="5"/>
    </row>
    <row r="633" ht="31.5" customHeight="1">
      <c r="G633" s="3"/>
      <c r="N633" s="3">
        <f t="shared" si="5"/>
        <v>0</v>
      </c>
      <c r="P633" s="4">
        <v>0.0</v>
      </c>
      <c r="Q633" s="5"/>
      <c r="R633" s="5"/>
    </row>
    <row r="634" ht="31.5" customHeight="1">
      <c r="G634" s="3"/>
      <c r="N634" s="3">
        <f t="shared" si="5"/>
        <v>0</v>
      </c>
      <c r="P634" s="4">
        <v>0.0</v>
      </c>
      <c r="Q634" s="5"/>
      <c r="R634" s="5"/>
    </row>
    <row r="635" ht="31.5" customHeight="1">
      <c r="G635" s="3"/>
      <c r="N635" s="3">
        <f t="shared" si="5"/>
        <v>0</v>
      </c>
      <c r="P635" s="4">
        <v>0.0</v>
      </c>
      <c r="Q635" s="5"/>
      <c r="R635" s="5"/>
    </row>
    <row r="636" ht="31.5" customHeight="1">
      <c r="G636" s="3"/>
      <c r="N636" s="3">
        <f t="shared" si="5"/>
        <v>0</v>
      </c>
      <c r="P636" s="4">
        <v>0.0</v>
      </c>
      <c r="Q636" s="5"/>
      <c r="R636" s="5"/>
    </row>
    <row r="637" ht="31.5" customHeight="1">
      <c r="G637" s="3"/>
      <c r="N637" s="3">
        <f t="shared" si="5"/>
        <v>0</v>
      </c>
      <c r="P637" s="4">
        <v>0.0</v>
      </c>
      <c r="Q637" s="5"/>
      <c r="R637" s="5"/>
    </row>
    <row r="638" ht="31.5" customHeight="1">
      <c r="G638" s="3"/>
      <c r="N638" s="3">
        <f t="shared" si="5"/>
        <v>0</v>
      </c>
      <c r="P638" s="4">
        <v>0.0</v>
      </c>
      <c r="Q638" s="5"/>
      <c r="R638" s="5"/>
    </row>
    <row r="639" ht="31.5" customHeight="1">
      <c r="G639" s="3"/>
      <c r="N639" s="3">
        <f t="shared" si="5"/>
        <v>0</v>
      </c>
      <c r="P639" s="4">
        <v>0.0</v>
      </c>
      <c r="Q639" s="5"/>
      <c r="R639" s="5"/>
    </row>
    <row r="640" ht="31.5" customHeight="1">
      <c r="G640" s="3"/>
      <c r="N640" s="3">
        <f t="shared" si="5"/>
        <v>0</v>
      </c>
      <c r="P640" s="4">
        <v>0.0</v>
      </c>
      <c r="Q640" s="5"/>
      <c r="R640" s="5"/>
    </row>
    <row r="641" ht="31.5" customHeight="1">
      <c r="G641" s="3"/>
      <c r="N641" s="3">
        <f t="shared" si="5"/>
        <v>0</v>
      </c>
      <c r="P641" s="4">
        <v>0.0</v>
      </c>
      <c r="Q641" s="5"/>
      <c r="R641" s="5"/>
    </row>
    <row r="642" ht="31.5" customHeight="1">
      <c r="G642" s="3"/>
      <c r="N642" s="3">
        <f t="shared" si="5"/>
        <v>0</v>
      </c>
      <c r="P642" s="4">
        <v>0.0</v>
      </c>
      <c r="Q642" s="5"/>
      <c r="R642" s="5"/>
    </row>
    <row r="643" ht="31.5" customHeight="1">
      <c r="G643" s="3"/>
      <c r="N643" s="3">
        <f t="shared" si="5"/>
        <v>0</v>
      </c>
      <c r="P643" s="4">
        <v>0.0</v>
      </c>
      <c r="Q643" s="5"/>
      <c r="R643" s="5"/>
    </row>
    <row r="644" ht="31.5" customHeight="1">
      <c r="G644" s="3"/>
      <c r="N644" s="3">
        <f t="shared" si="5"/>
        <v>0</v>
      </c>
      <c r="P644" s="4">
        <v>0.0</v>
      </c>
      <c r="Q644" s="5"/>
      <c r="R644" s="5"/>
    </row>
    <row r="645" ht="31.5" customHeight="1">
      <c r="G645" s="3"/>
      <c r="N645" s="3">
        <f t="shared" si="5"/>
        <v>0</v>
      </c>
      <c r="P645" s="4">
        <v>0.0</v>
      </c>
      <c r="Q645" s="5"/>
      <c r="R645" s="5"/>
    </row>
    <row r="646" ht="31.5" customHeight="1">
      <c r="G646" s="3"/>
      <c r="N646" s="3">
        <f t="shared" si="5"/>
        <v>0</v>
      </c>
      <c r="P646" s="4">
        <v>0.0</v>
      </c>
      <c r="Q646" s="5"/>
      <c r="R646" s="5"/>
    </row>
    <row r="647" ht="31.5" customHeight="1">
      <c r="G647" s="3"/>
      <c r="N647" s="3">
        <f t="shared" si="5"/>
        <v>0</v>
      </c>
      <c r="P647" s="4">
        <v>0.0</v>
      </c>
      <c r="Q647" s="5"/>
      <c r="R647" s="5"/>
    </row>
    <row r="648" ht="31.5" customHeight="1">
      <c r="G648" s="3"/>
      <c r="N648" s="3">
        <f t="shared" si="5"/>
        <v>0</v>
      </c>
      <c r="P648" s="4">
        <v>0.0</v>
      </c>
      <c r="Q648" s="5"/>
      <c r="R648" s="5"/>
    </row>
    <row r="649" ht="31.5" customHeight="1">
      <c r="G649" s="3"/>
      <c r="N649" s="3">
        <f t="shared" si="5"/>
        <v>0</v>
      </c>
      <c r="P649" s="4">
        <v>0.0</v>
      </c>
      <c r="Q649" s="5"/>
      <c r="R649" s="5"/>
    </row>
    <row r="650" ht="31.5" customHeight="1">
      <c r="G650" s="3"/>
      <c r="N650" s="3">
        <f t="shared" si="5"/>
        <v>0</v>
      </c>
      <c r="P650" s="4">
        <v>0.0</v>
      </c>
      <c r="Q650" s="5"/>
      <c r="R650" s="5"/>
    </row>
    <row r="651" ht="31.5" customHeight="1">
      <c r="G651" s="3"/>
      <c r="N651" s="3">
        <f t="shared" si="5"/>
        <v>0</v>
      </c>
      <c r="P651" s="4">
        <v>0.0</v>
      </c>
      <c r="Q651" s="5"/>
      <c r="R651" s="5"/>
    </row>
    <row r="652" ht="31.5" customHeight="1">
      <c r="G652" s="3"/>
      <c r="N652" s="3">
        <f t="shared" si="5"/>
        <v>0</v>
      </c>
      <c r="P652" s="4">
        <v>0.0</v>
      </c>
      <c r="Q652" s="5"/>
      <c r="R652" s="5"/>
    </row>
    <row r="653" ht="31.5" customHeight="1">
      <c r="G653" s="3"/>
      <c r="N653" s="3">
        <f t="shared" si="5"/>
        <v>0</v>
      </c>
      <c r="P653" s="4">
        <v>0.0</v>
      </c>
      <c r="Q653" s="5"/>
      <c r="R653" s="5"/>
    </row>
    <row r="654" ht="31.5" customHeight="1">
      <c r="G654" s="3"/>
      <c r="N654" s="3">
        <f t="shared" si="5"/>
        <v>0</v>
      </c>
      <c r="P654" s="4">
        <v>0.0</v>
      </c>
      <c r="Q654" s="5"/>
      <c r="R654" s="5"/>
    </row>
    <row r="655" ht="31.5" customHeight="1">
      <c r="G655" s="3"/>
      <c r="N655" s="3">
        <f t="shared" si="5"/>
        <v>0</v>
      </c>
      <c r="P655" s="4">
        <v>0.0</v>
      </c>
      <c r="Q655" s="5"/>
      <c r="R655" s="5"/>
    </row>
    <row r="656" ht="31.5" customHeight="1">
      <c r="G656" s="3"/>
      <c r="N656" s="3">
        <f t="shared" si="5"/>
        <v>0</v>
      </c>
      <c r="P656" s="4">
        <v>0.0</v>
      </c>
      <c r="Q656" s="5"/>
      <c r="R656" s="5"/>
    </row>
    <row r="657" ht="31.5" customHeight="1">
      <c r="G657" s="3"/>
      <c r="N657" s="3">
        <f t="shared" si="5"/>
        <v>0</v>
      </c>
      <c r="P657" s="4">
        <v>0.0</v>
      </c>
      <c r="Q657" s="5"/>
      <c r="R657" s="5"/>
    </row>
    <row r="658" ht="31.5" customHeight="1">
      <c r="G658" s="3"/>
      <c r="N658" s="3">
        <f t="shared" si="5"/>
        <v>0</v>
      </c>
      <c r="P658" s="4">
        <v>0.0</v>
      </c>
      <c r="Q658" s="5"/>
      <c r="R658" s="5"/>
    </row>
    <row r="659" ht="31.5" customHeight="1">
      <c r="G659" s="3"/>
      <c r="N659" s="3">
        <f t="shared" si="5"/>
        <v>0</v>
      </c>
      <c r="P659" s="4">
        <v>0.0</v>
      </c>
      <c r="Q659" s="5"/>
      <c r="R659" s="5"/>
    </row>
    <row r="660" ht="31.5" customHeight="1">
      <c r="G660" s="3"/>
      <c r="N660" s="3">
        <f t="shared" si="5"/>
        <v>0</v>
      </c>
      <c r="P660" s="4">
        <v>0.0</v>
      </c>
      <c r="Q660" s="5"/>
      <c r="R660" s="5"/>
    </row>
    <row r="661" ht="31.5" customHeight="1">
      <c r="G661" s="3"/>
      <c r="N661" s="3">
        <f t="shared" si="5"/>
        <v>0</v>
      </c>
      <c r="P661" s="4">
        <v>0.0</v>
      </c>
      <c r="Q661" s="5"/>
      <c r="R661" s="5"/>
    </row>
    <row r="662" ht="31.5" customHeight="1">
      <c r="G662" s="3"/>
      <c r="N662" s="3">
        <f t="shared" si="5"/>
        <v>0</v>
      </c>
      <c r="P662" s="4">
        <v>0.0</v>
      </c>
      <c r="Q662" s="5"/>
      <c r="R662" s="5"/>
    </row>
    <row r="663" ht="31.5" customHeight="1">
      <c r="G663" s="3"/>
      <c r="N663" s="3">
        <f t="shared" si="5"/>
        <v>0</v>
      </c>
      <c r="P663" s="4">
        <v>0.0</v>
      </c>
      <c r="Q663" s="5"/>
      <c r="R663" s="5"/>
    </row>
    <row r="664" ht="31.5" customHeight="1">
      <c r="G664" s="3"/>
      <c r="N664" s="3">
        <f t="shared" si="5"/>
        <v>0</v>
      </c>
      <c r="P664" s="4">
        <v>0.0</v>
      </c>
      <c r="Q664" s="5"/>
      <c r="R664" s="5"/>
    </row>
    <row r="665" ht="31.5" customHeight="1">
      <c r="G665" s="3"/>
      <c r="N665" s="3">
        <f t="shared" si="5"/>
        <v>0</v>
      </c>
      <c r="P665" s="4">
        <v>0.0</v>
      </c>
      <c r="Q665" s="5"/>
      <c r="R665" s="5"/>
    </row>
    <row r="666" ht="31.5" customHeight="1">
      <c r="G666" s="3"/>
      <c r="N666" s="3">
        <f t="shared" si="5"/>
        <v>0</v>
      </c>
      <c r="P666" s="4">
        <v>0.0</v>
      </c>
      <c r="Q666" s="5"/>
      <c r="R666" s="5"/>
    </row>
    <row r="667" ht="31.5" customHeight="1">
      <c r="G667" s="3"/>
      <c r="N667" s="3">
        <f t="shared" si="5"/>
        <v>0</v>
      </c>
      <c r="P667" s="4">
        <v>0.0</v>
      </c>
      <c r="Q667" s="5"/>
      <c r="R667" s="5"/>
    </row>
    <row r="668" ht="31.5" customHeight="1">
      <c r="G668" s="3"/>
      <c r="N668" s="3">
        <f t="shared" si="5"/>
        <v>0</v>
      </c>
      <c r="P668" s="4">
        <v>0.0</v>
      </c>
      <c r="Q668" s="5"/>
      <c r="R668" s="5"/>
    </row>
    <row r="669" ht="31.5" customHeight="1">
      <c r="G669" s="3"/>
      <c r="N669" s="3">
        <f t="shared" si="5"/>
        <v>0</v>
      </c>
      <c r="P669" s="4">
        <v>0.0</v>
      </c>
      <c r="Q669" s="5"/>
      <c r="R669" s="5"/>
    </row>
    <row r="670" ht="31.5" customHeight="1">
      <c r="G670" s="3"/>
      <c r="N670" s="3">
        <f t="shared" si="5"/>
        <v>0</v>
      </c>
      <c r="P670" s="4">
        <v>0.0</v>
      </c>
      <c r="Q670" s="5"/>
      <c r="R670" s="5"/>
    </row>
    <row r="671" ht="31.5" customHeight="1">
      <c r="G671" s="3"/>
      <c r="N671" s="3">
        <f t="shared" si="5"/>
        <v>0</v>
      </c>
      <c r="P671" s="4">
        <v>0.0</v>
      </c>
      <c r="Q671" s="5"/>
      <c r="R671" s="5"/>
    </row>
    <row r="672" ht="31.5" customHeight="1">
      <c r="G672" s="3"/>
      <c r="N672" s="3">
        <f t="shared" si="5"/>
        <v>0</v>
      </c>
      <c r="P672" s="4">
        <v>0.0</v>
      </c>
      <c r="Q672" s="5"/>
      <c r="R672" s="5"/>
    </row>
    <row r="673" ht="31.5" customHeight="1">
      <c r="G673" s="3"/>
      <c r="N673" s="3">
        <f t="shared" si="5"/>
        <v>0</v>
      </c>
      <c r="P673" s="4">
        <v>0.0</v>
      </c>
      <c r="Q673" s="5"/>
      <c r="R673" s="5"/>
    </row>
    <row r="674" ht="31.5" customHeight="1">
      <c r="G674" s="3"/>
      <c r="N674" s="3">
        <f t="shared" si="5"/>
        <v>0</v>
      </c>
      <c r="P674" s="4">
        <v>0.0</v>
      </c>
      <c r="Q674" s="5"/>
      <c r="R674" s="5"/>
    </row>
    <row r="675" ht="31.5" customHeight="1">
      <c r="G675" s="3"/>
      <c r="N675" s="3">
        <f t="shared" si="5"/>
        <v>0</v>
      </c>
      <c r="P675" s="4">
        <v>0.0</v>
      </c>
      <c r="Q675" s="5"/>
      <c r="R675" s="5"/>
    </row>
    <row r="676" ht="31.5" customHeight="1">
      <c r="G676" s="3"/>
      <c r="N676" s="3">
        <f t="shared" si="5"/>
        <v>0</v>
      </c>
      <c r="P676" s="4">
        <v>0.0</v>
      </c>
      <c r="Q676" s="5"/>
      <c r="R676" s="5"/>
    </row>
    <row r="677" ht="31.5" customHeight="1">
      <c r="G677" s="3"/>
      <c r="N677" s="3">
        <f t="shared" si="5"/>
        <v>0</v>
      </c>
      <c r="P677" s="4">
        <v>0.0</v>
      </c>
      <c r="Q677" s="5"/>
      <c r="R677" s="5"/>
    </row>
    <row r="678" ht="31.5" customHeight="1">
      <c r="G678" s="3"/>
      <c r="N678" s="3">
        <f t="shared" si="5"/>
        <v>0</v>
      </c>
      <c r="P678" s="4">
        <v>0.0</v>
      </c>
      <c r="Q678" s="5"/>
      <c r="R678" s="5"/>
    </row>
    <row r="679" ht="31.5" customHeight="1">
      <c r="G679" s="3"/>
      <c r="N679" s="3">
        <f t="shared" si="5"/>
        <v>0</v>
      </c>
      <c r="P679" s="4">
        <v>0.0</v>
      </c>
      <c r="Q679" s="5"/>
      <c r="R679" s="5"/>
    </row>
    <row r="680" ht="31.5" customHeight="1">
      <c r="G680" s="3"/>
      <c r="N680" s="3">
        <f t="shared" si="5"/>
        <v>0</v>
      </c>
      <c r="P680" s="4">
        <v>0.0</v>
      </c>
      <c r="Q680" s="5"/>
      <c r="R680" s="5"/>
    </row>
    <row r="681" ht="31.5" customHeight="1">
      <c r="G681" s="3"/>
      <c r="N681" s="3">
        <f t="shared" si="5"/>
        <v>0</v>
      </c>
      <c r="P681" s="4">
        <v>0.0</v>
      </c>
      <c r="Q681" s="5"/>
      <c r="R681" s="5"/>
    </row>
    <row r="682" ht="31.5" customHeight="1">
      <c r="G682" s="3"/>
      <c r="N682" s="3">
        <f t="shared" si="5"/>
        <v>0</v>
      </c>
      <c r="P682" s="4">
        <v>0.0</v>
      </c>
      <c r="Q682" s="5"/>
      <c r="R682" s="5"/>
    </row>
    <row r="683" ht="31.5" customHeight="1">
      <c r="G683" s="3"/>
      <c r="N683" s="3">
        <f t="shared" si="5"/>
        <v>0</v>
      </c>
      <c r="P683" s="4">
        <v>0.0</v>
      </c>
      <c r="Q683" s="5"/>
      <c r="R683" s="5"/>
    </row>
    <row r="684" ht="31.5" customHeight="1">
      <c r="G684" s="3"/>
      <c r="N684" s="3">
        <f t="shared" si="5"/>
        <v>0</v>
      </c>
      <c r="P684" s="4">
        <v>0.0</v>
      </c>
      <c r="Q684" s="5"/>
      <c r="R684" s="5"/>
    </row>
    <row r="685" ht="31.5" customHeight="1">
      <c r="G685" s="3"/>
      <c r="N685" s="3">
        <f t="shared" si="5"/>
        <v>0</v>
      </c>
      <c r="P685" s="4">
        <v>0.0</v>
      </c>
      <c r="Q685" s="5"/>
      <c r="R685" s="5"/>
    </row>
    <row r="686" ht="31.5" customHeight="1">
      <c r="G686" s="3"/>
      <c r="N686" s="3">
        <f t="shared" si="5"/>
        <v>0</v>
      </c>
      <c r="P686" s="4">
        <v>0.0</v>
      </c>
      <c r="Q686" s="5"/>
      <c r="R686" s="5"/>
    </row>
    <row r="687" ht="31.5" customHeight="1">
      <c r="G687" s="3"/>
      <c r="N687" s="3">
        <f t="shared" si="5"/>
        <v>0</v>
      </c>
      <c r="P687" s="4">
        <v>0.0</v>
      </c>
      <c r="Q687" s="5"/>
      <c r="R687" s="5"/>
    </row>
    <row r="688" ht="31.5" customHeight="1">
      <c r="G688" s="3"/>
      <c r="N688" s="3">
        <f t="shared" si="5"/>
        <v>0</v>
      </c>
      <c r="P688" s="4">
        <v>0.0</v>
      </c>
      <c r="Q688" s="5"/>
      <c r="R688" s="5"/>
    </row>
    <row r="689" ht="31.5" customHeight="1">
      <c r="G689" s="3"/>
      <c r="N689" s="3">
        <f t="shared" si="5"/>
        <v>0</v>
      </c>
      <c r="P689" s="4">
        <v>0.0</v>
      </c>
      <c r="Q689" s="5"/>
      <c r="R689" s="5"/>
    </row>
    <row r="690" ht="31.5" customHeight="1">
      <c r="G690" s="3"/>
      <c r="N690" s="3">
        <f t="shared" si="5"/>
        <v>0</v>
      </c>
      <c r="P690" s="4">
        <v>0.0</v>
      </c>
      <c r="Q690" s="5"/>
      <c r="R690" s="5"/>
    </row>
    <row r="691" ht="31.5" customHeight="1">
      <c r="G691" s="3"/>
      <c r="N691" s="3">
        <f t="shared" si="5"/>
        <v>0</v>
      </c>
      <c r="P691" s="4">
        <v>0.0</v>
      </c>
      <c r="Q691" s="5"/>
      <c r="R691" s="5"/>
    </row>
    <row r="692" ht="31.5" customHeight="1">
      <c r="G692" s="3"/>
      <c r="N692" s="3">
        <f t="shared" si="5"/>
        <v>0</v>
      </c>
      <c r="P692" s="4">
        <v>0.0</v>
      </c>
      <c r="Q692" s="5"/>
      <c r="R692" s="5"/>
    </row>
    <row r="693" ht="31.5" customHeight="1">
      <c r="G693" s="3"/>
      <c r="N693" s="3">
        <f t="shared" si="5"/>
        <v>0</v>
      </c>
      <c r="P693" s="4">
        <v>0.0</v>
      </c>
      <c r="Q693" s="5"/>
      <c r="R693" s="5"/>
    </row>
    <row r="694" ht="31.5" customHeight="1">
      <c r="G694" s="3"/>
      <c r="N694" s="3">
        <f t="shared" si="5"/>
        <v>0</v>
      </c>
      <c r="P694" s="4">
        <v>0.0</v>
      </c>
      <c r="Q694" s="5"/>
      <c r="R694" s="5"/>
    </row>
    <row r="695" ht="31.5" customHeight="1">
      <c r="G695" s="3"/>
      <c r="N695" s="3">
        <f t="shared" si="5"/>
        <v>0</v>
      </c>
      <c r="P695" s="4">
        <v>0.0</v>
      </c>
      <c r="Q695" s="5"/>
      <c r="R695" s="5"/>
    </row>
    <row r="696" ht="31.5" customHeight="1">
      <c r="G696" s="3"/>
      <c r="N696" s="3">
        <f t="shared" si="5"/>
        <v>0</v>
      </c>
      <c r="P696" s="4">
        <v>0.0</v>
      </c>
      <c r="Q696" s="5"/>
      <c r="R696" s="5"/>
    </row>
    <row r="697" ht="31.5" customHeight="1">
      <c r="G697" s="3"/>
      <c r="N697" s="3">
        <f t="shared" si="5"/>
        <v>0</v>
      </c>
      <c r="P697" s="4">
        <v>0.0</v>
      </c>
      <c r="Q697" s="5"/>
      <c r="R697" s="5"/>
    </row>
    <row r="698" ht="31.5" customHeight="1">
      <c r="G698" s="3"/>
      <c r="N698" s="3">
        <f t="shared" si="5"/>
        <v>0</v>
      </c>
      <c r="P698" s="4">
        <v>0.0</v>
      </c>
      <c r="Q698" s="5"/>
      <c r="R698" s="5"/>
    </row>
    <row r="699" ht="31.5" customHeight="1">
      <c r="G699" s="3"/>
      <c r="N699" s="3">
        <f t="shared" si="5"/>
        <v>0</v>
      </c>
      <c r="P699" s="4">
        <v>0.0</v>
      </c>
      <c r="Q699" s="5"/>
      <c r="R699" s="5"/>
    </row>
    <row r="700" ht="31.5" customHeight="1">
      <c r="G700" s="3"/>
      <c r="N700" s="3">
        <f t="shared" si="5"/>
        <v>0</v>
      </c>
      <c r="P700" s="4">
        <v>0.0</v>
      </c>
      <c r="Q700" s="5"/>
      <c r="R700" s="5"/>
    </row>
    <row r="701" ht="31.5" customHeight="1">
      <c r="G701" s="3"/>
      <c r="N701" s="3">
        <f t="shared" si="5"/>
        <v>0</v>
      </c>
      <c r="P701" s="4">
        <v>0.0</v>
      </c>
      <c r="Q701" s="5"/>
      <c r="R701" s="5"/>
    </row>
    <row r="702" ht="31.5" customHeight="1">
      <c r="G702" s="3"/>
      <c r="N702" s="3">
        <f t="shared" si="5"/>
        <v>0</v>
      </c>
      <c r="P702" s="4">
        <v>0.0</v>
      </c>
      <c r="Q702" s="5"/>
      <c r="R702" s="5"/>
    </row>
    <row r="703" ht="31.5" customHeight="1">
      <c r="G703" s="3"/>
      <c r="N703" s="3">
        <f t="shared" si="5"/>
        <v>0</v>
      </c>
      <c r="P703" s="4">
        <v>0.0</v>
      </c>
      <c r="Q703" s="5"/>
      <c r="R703" s="5"/>
    </row>
    <row r="704" ht="31.5" customHeight="1">
      <c r="G704" s="3"/>
      <c r="N704" s="3">
        <f t="shared" si="5"/>
        <v>0</v>
      </c>
      <c r="P704" s="4">
        <v>0.0</v>
      </c>
      <c r="Q704" s="5"/>
      <c r="R704" s="5"/>
    </row>
    <row r="705" ht="31.5" customHeight="1">
      <c r="G705" s="3"/>
      <c r="N705" s="3">
        <f t="shared" si="5"/>
        <v>0</v>
      </c>
      <c r="P705" s="4">
        <v>0.0</v>
      </c>
      <c r="Q705" s="5"/>
      <c r="R705" s="5"/>
    </row>
    <row r="706" ht="31.5" customHeight="1">
      <c r="G706" s="3"/>
      <c r="N706" s="3">
        <f t="shared" si="5"/>
        <v>0</v>
      </c>
      <c r="P706" s="4">
        <v>0.0</v>
      </c>
      <c r="Q706" s="5"/>
      <c r="R706" s="5"/>
    </row>
    <row r="707" ht="31.5" customHeight="1">
      <c r="G707" s="3"/>
      <c r="N707" s="3">
        <f t="shared" si="5"/>
        <v>0</v>
      </c>
      <c r="P707" s="4">
        <v>0.0</v>
      </c>
      <c r="Q707" s="5"/>
      <c r="R707" s="5"/>
    </row>
    <row r="708" ht="31.5" customHeight="1">
      <c r="G708" s="3"/>
      <c r="N708" s="3">
        <f t="shared" si="5"/>
        <v>0</v>
      </c>
      <c r="Q708" s="5"/>
      <c r="R708" s="5"/>
    </row>
    <row r="709" ht="31.5" customHeight="1">
      <c r="G709" s="3"/>
      <c r="N709" s="3">
        <f t="shared" si="5"/>
        <v>0</v>
      </c>
      <c r="Q709" s="5"/>
      <c r="R709" s="5"/>
    </row>
    <row r="710" ht="31.5" customHeight="1">
      <c r="G710" s="3"/>
      <c r="N710" s="3">
        <f t="shared" si="5"/>
        <v>0</v>
      </c>
      <c r="Q710" s="5"/>
      <c r="R710" s="5"/>
    </row>
    <row r="711" ht="31.5" customHeight="1">
      <c r="G711" s="3"/>
      <c r="N711" s="3">
        <f t="shared" si="5"/>
        <v>0</v>
      </c>
      <c r="Q711" s="5"/>
      <c r="R711" s="5"/>
    </row>
    <row r="712" ht="31.5" customHeight="1">
      <c r="G712" s="3"/>
      <c r="N712" s="3">
        <f t="shared" si="5"/>
        <v>0</v>
      </c>
      <c r="Q712" s="5"/>
      <c r="R712" s="5"/>
    </row>
    <row r="713" ht="31.5" customHeight="1">
      <c r="G713" s="3"/>
      <c r="N713" s="3">
        <f t="shared" si="5"/>
        <v>0</v>
      </c>
      <c r="Q713" s="5"/>
      <c r="R713" s="5"/>
    </row>
    <row r="714" ht="31.5" customHeight="1">
      <c r="G714" s="3"/>
      <c r="N714" s="3">
        <f t="shared" si="5"/>
        <v>0</v>
      </c>
      <c r="Q714" s="5"/>
      <c r="R714" s="5"/>
    </row>
    <row r="715" ht="31.5" customHeight="1">
      <c r="G715" s="3"/>
      <c r="N715" s="3">
        <f t="shared" si="5"/>
        <v>0</v>
      </c>
      <c r="Q715" s="5"/>
      <c r="R715" s="5"/>
    </row>
    <row r="716" ht="31.5" customHeight="1">
      <c r="G716" s="3"/>
      <c r="N716" s="3">
        <f t="shared" si="5"/>
        <v>0</v>
      </c>
      <c r="Q716" s="5"/>
      <c r="R716" s="5"/>
    </row>
    <row r="717" ht="31.5" customHeight="1">
      <c r="G717" s="3"/>
      <c r="N717" s="3">
        <f t="shared" si="5"/>
        <v>0</v>
      </c>
      <c r="Q717" s="5"/>
      <c r="R717" s="5"/>
    </row>
    <row r="718" ht="31.5" customHeight="1">
      <c r="G718" s="3"/>
      <c r="N718" s="3">
        <f t="shared" si="5"/>
        <v>0</v>
      </c>
      <c r="Q718" s="5"/>
      <c r="R718" s="5"/>
    </row>
    <row r="719" ht="31.5" customHeight="1">
      <c r="G719" s="3"/>
      <c r="N719" s="3">
        <f t="shared" si="5"/>
        <v>0</v>
      </c>
      <c r="Q719" s="5"/>
      <c r="R719" s="5"/>
    </row>
    <row r="720" ht="31.5" customHeight="1">
      <c r="G720" s="3"/>
      <c r="N720" s="3">
        <f t="shared" si="5"/>
        <v>0</v>
      </c>
      <c r="Q720" s="5"/>
      <c r="R720" s="5"/>
    </row>
    <row r="721" ht="31.5" customHeight="1">
      <c r="G721" s="3"/>
      <c r="N721" s="3">
        <f t="shared" si="5"/>
        <v>0</v>
      </c>
      <c r="Q721" s="5"/>
      <c r="R721" s="5"/>
    </row>
    <row r="722" ht="31.5" customHeight="1">
      <c r="G722" s="3"/>
      <c r="N722" s="3">
        <f t="shared" si="5"/>
        <v>0</v>
      </c>
      <c r="Q722" s="5"/>
      <c r="R722" s="5"/>
    </row>
    <row r="723" ht="31.5" customHeight="1">
      <c r="G723" s="3"/>
      <c r="N723" s="3">
        <f t="shared" si="5"/>
        <v>0</v>
      </c>
      <c r="Q723" s="5"/>
      <c r="R723" s="5"/>
    </row>
    <row r="724" ht="31.5" customHeight="1">
      <c r="G724" s="3"/>
      <c r="N724" s="3">
        <f t="shared" si="5"/>
        <v>0</v>
      </c>
      <c r="Q724" s="5"/>
      <c r="R724" s="5"/>
    </row>
    <row r="725" ht="31.5" customHeight="1">
      <c r="G725" s="3"/>
      <c r="N725" s="3">
        <f t="shared" si="5"/>
        <v>0</v>
      </c>
      <c r="Q725" s="5"/>
      <c r="R725" s="5"/>
    </row>
    <row r="726" ht="31.5" customHeight="1">
      <c r="G726" s="3"/>
      <c r="N726" s="3">
        <f t="shared" si="5"/>
        <v>0</v>
      </c>
      <c r="Q726" s="5"/>
      <c r="R726" s="5"/>
    </row>
    <row r="727" ht="31.5" customHeight="1">
      <c r="G727" s="3"/>
      <c r="N727" s="3">
        <f t="shared" si="5"/>
        <v>0</v>
      </c>
      <c r="Q727" s="5"/>
      <c r="R727" s="5"/>
    </row>
    <row r="728" ht="31.5" customHeight="1">
      <c r="G728" s="3"/>
      <c r="N728" s="3">
        <f t="shared" si="5"/>
        <v>0</v>
      </c>
      <c r="Q728" s="5"/>
      <c r="R728" s="5"/>
    </row>
    <row r="729" ht="31.5" customHeight="1">
      <c r="G729" s="3"/>
      <c r="N729" s="3">
        <f t="shared" si="5"/>
        <v>0</v>
      </c>
      <c r="Q729" s="5"/>
      <c r="R729" s="5"/>
    </row>
    <row r="730" ht="31.5" customHeight="1">
      <c r="G730" s="3"/>
      <c r="N730" s="3">
        <f t="shared" si="5"/>
        <v>0</v>
      </c>
      <c r="Q730" s="5"/>
      <c r="R730" s="5"/>
    </row>
    <row r="731" ht="31.5" customHeight="1">
      <c r="G731" s="3"/>
      <c r="N731" s="3">
        <f t="shared" si="5"/>
        <v>0</v>
      </c>
      <c r="Q731" s="5"/>
      <c r="R731" s="5"/>
    </row>
    <row r="732" ht="31.5" customHeight="1">
      <c r="G732" s="3"/>
      <c r="N732" s="3">
        <f t="shared" si="5"/>
        <v>0</v>
      </c>
      <c r="Q732" s="5"/>
      <c r="R732" s="5"/>
    </row>
    <row r="733" ht="31.5" customHeight="1">
      <c r="G733" s="3"/>
      <c r="N733" s="3">
        <f t="shared" si="5"/>
        <v>0</v>
      </c>
      <c r="Q733" s="5"/>
      <c r="R733" s="5"/>
    </row>
    <row r="734" ht="31.5" customHeight="1">
      <c r="G734" s="3"/>
      <c r="N734" s="3">
        <f t="shared" si="5"/>
        <v>0</v>
      </c>
      <c r="Q734" s="5"/>
      <c r="R734" s="5"/>
    </row>
    <row r="735" ht="31.5" customHeight="1">
      <c r="G735" s="3"/>
      <c r="N735" s="3">
        <f t="shared" si="5"/>
        <v>0</v>
      </c>
      <c r="Q735" s="5"/>
      <c r="R735" s="5"/>
    </row>
    <row r="736" ht="31.5" customHeight="1">
      <c r="G736" s="3"/>
      <c r="N736" s="3">
        <f t="shared" si="5"/>
        <v>0</v>
      </c>
      <c r="Q736" s="5"/>
      <c r="R736" s="5"/>
    </row>
    <row r="737" ht="31.5" customHeight="1">
      <c r="G737" s="3"/>
      <c r="N737" s="3">
        <f t="shared" si="5"/>
        <v>0</v>
      </c>
      <c r="Q737" s="5"/>
      <c r="R737" s="5"/>
    </row>
    <row r="738" ht="31.5" customHeight="1">
      <c r="G738" s="3"/>
      <c r="N738" s="3">
        <f t="shared" si="5"/>
        <v>0</v>
      </c>
      <c r="Q738" s="5"/>
      <c r="R738" s="5"/>
    </row>
    <row r="739" ht="31.5" customHeight="1">
      <c r="G739" s="3"/>
      <c r="N739" s="3">
        <f t="shared" si="5"/>
        <v>0</v>
      </c>
      <c r="Q739" s="5"/>
      <c r="R739" s="5"/>
    </row>
    <row r="740" ht="31.5" customHeight="1">
      <c r="G740" s="3"/>
      <c r="N740" s="3">
        <f t="shared" si="5"/>
        <v>0</v>
      </c>
      <c r="Q740" s="5"/>
      <c r="R740" s="5"/>
    </row>
    <row r="741" ht="31.5" customHeight="1">
      <c r="G741" s="3"/>
      <c r="N741" s="3">
        <f t="shared" si="5"/>
        <v>0</v>
      </c>
      <c r="Q741" s="5"/>
      <c r="R741" s="5"/>
    </row>
    <row r="742" ht="31.5" customHeight="1">
      <c r="G742" s="3"/>
      <c r="N742" s="3">
        <f t="shared" si="5"/>
        <v>0</v>
      </c>
      <c r="Q742" s="5"/>
      <c r="R742" s="5"/>
    </row>
    <row r="743" ht="31.5" customHeight="1">
      <c r="G743" s="3"/>
      <c r="N743" s="3">
        <f t="shared" si="5"/>
        <v>0</v>
      </c>
      <c r="Q743" s="5"/>
      <c r="R743" s="5"/>
    </row>
    <row r="744" ht="31.5" customHeight="1">
      <c r="G744" s="3"/>
      <c r="N744" s="3">
        <f t="shared" si="5"/>
        <v>0</v>
      </c>
      <c r="Q744" s="5"/>
      <c r="R744" s="5"/>
    </row>
    <row r="745" ht="31.5" customHeight="1">
      <c r="G745" s="3"/>
      <c r="N745" s="3">
        <f t="shared" si="5"/>
        <v>0</v>
      </c>
      <c r="Q745" s="5"/>
      <c r="R745" s="5"/>
    </row>
    <row r="746" ht="31.5" customHeight="1">
      <c r="G746" s="3"/>
      <c r="N746" s="3">
        <f t="shared" si="5"/>
        <v>0</v>
      </c>
      <c r="Q746" s="5"/>
      <c r="R746" s="5"/>
    </row>
    <row r="747" ht="31.5" customHeight="1">
      <c r="G747" s="3"/>
      <c r="N747" s="3">
        <f t="shared" si="5"/>
        <v>0</v>
      </c>
      <c r="Q747" s="5"/>
      <c r="R747" s="5"/>
    </row>
    <row r="748" ht="31.5" customHeight="1">
      <c r="G748" s="3"/>
      <c r="N748" s="3">
        <f t="shared" si="5"/>
        <v>0</v>
      </c>
      <c r="Q748" s="5"/>
      <c r="R748" s="5"/>
    </row>
    <row r="749" ht="31.5" customHeight="1">
      <c r="G749" s="3"/>
      <c r="N749" s="3">
        <f t="shared" si="5"/>
        <v>0</v>
      </c>
      <c r="Q749" s="5"/>
      <c r="R749" s="5"/>
    </row>
    <row r="750" ht="31.5" customHeight="1">
      <c r="G750" s="3"/>
      <c r="N750" s="3">
        <f t="shared" si="5"/>
        <v>0</v>
      </c>
      <c r="Q750" s="5"/>
      <c r="R750" s="5"/>
    </row>
    <row r="751" ht="31.5" customHeight="1">
      <c r="G751" s="3"/>
      <c r="N751" s="3">
        <f t="shared" si="5"/>
        <v>0</v>
      </c>
      <c r="Q751" s="5"/>
      <c r="R751" s="5"/>
    </row>
    <row r="752" ht="31.5" customHeight="1">
      <c r="G752" s="3"/>
      <c r="N752" s="3">
        <f t="shared" si="5"/>
        <v>0</v>
      </c>
      <c r="Q752" s="5"/>
      <c r="R752" s="5"/>
    </row>
    <row r="753" ht="31.5" customHeight="1">
      <c r="G753" s="3"/>
      <c r="N753" s="3">
        <f t="shared" si="5"/>
        <v>0</v>
      </c>
      <c r="Q753" s="5"/>
      <c r="R753" s="5"/>
    </row>
    <row r="754" ht="31.5" customHeight="1">
      <c r="G754" s="3"/>
      <c r="N754" s="3">
        <f t="shared" si="5"/>
        <v>0</v>
      </c>
      <c r="Q754" s="5"/>
      <c r="R754" s="5"/>
    </row>
    <row r="755" ht="31.5" customHeight="1">
      <c r="G755" s="3"/>
      <c r="N755" s="3">
        <f t="shared" si="5"/>
        <v>0</v>
      </c>
      <c r="Q755" s="5"/>
      <c r="R755" s="5"/>
    </row>
    <row r="756" ht="31.5" customHeight="1">
      <c r="G756" s="3"/>
      <c r="N756" s="3">
        <f t="shared" si="5"/>
        <v>0</v>
      </c>
      <c r="Q756" s="5"/>
      <c r="R756" s="5"/>
    </row>
    <row r="757" ht="31.5" customHeight="1">
      <c r="G757" s="3"/>
      <c r="N757" s="3">
        <f t="shared" si="5"/>
        <v>0</v>
      </c>
      <c r="Q757" s="5"/>
      <c r="R757" s="5"/>
    </row>
    <row r="758" ht="31.5" customHeight="1">
      <c r="G758" s="3"/>
      <c r="N758" s="3">
        <f t="shared" si="5"/>
        <v>0</v>
      </c>
      <c r="Q758" s="5"/>
      <c r="R758" s="5"/>
    </row>
    <row r="759" ht="31.5" customHeight="1">
      <c r="G759" s="3"/>
      <c r="N759" s="3">
        <f t="shared" si="5"/>
        <v>0</v>
      </c>
      <c r="Q759" s="5"/>
      <c r="R759" s="5"/>
    </row>
    <row r="760" ht="31.5" customHeight="1">
      <c r="G760" s="3"/>
      <c r="N760" s="3">
        <f t="shared" si="5"/>
        <v>0</v>
      </c>
      <c r="Q760" s="5"/>
      <c r="R760" s="5"/>
    </row>
    <row r="761" ht="31.5" customHeight="1">
      <c r="G761" s="3"/>
      <c r="N761" s="3">
        <f t="shared" si="5"/>
        <v>0</v>
      </c>
      <c r="Q761" s="5"/>
      <c r="R761" s="5"/>
    </row>
    <row r="762" ht="31.5" customHeight="1">
      <c r="G762" s="3"/>
      <c r="N762" s="3">
        <f t="shared" si="5"/>
        <v>0</v>
      </c>
      <c r="Q762" s="5"/>
      <c r="R762" s="5"/>
    </row>
    <row r="763" ht="31.5" customHeight="1">
      <c r="G763" s="3"/>
      <c r="N763" s="3">
        <f t="shared" si="5"/>
        <v>0</v>
      </c>
      <c r="Q763" s="5"/>
      <c r="R763" s="5"/>
    </row>
    <row r="764" ht="31.5" customHeight="1">
      <c r="G764" s="3"/>
      <c r="N764" s="3">
        <f t="shared" si="5"/>
        <v>0</v>
      </c>
      <c r="Q764" s="5"/>
      <c r="R764" s="5"/>
    </row>
    <row r="765" ht="31.5" customHeight="1">
      <c r="G765" s="3"/>
      <c r="N765" s="3">
        <f t="shared" si="5"/>
        <v>0</v>
      </c>
      <c r="Q765" s="5"/>
      <c r="R765" s="5"/>
    </row>
    <row r="766" ht="31.5" customHeight="1">
      <c r="G766" s="3"/>
      <c r="N766" s="3">
        <f t="shared" si="5"/>
        <v>0</v>
      </c>
      <c r="Q766" s="5"/>
      <c r="R766" s="5"/>
    </row>
    <row r="767" ht="31.5" customHeight="1">
      <c r="G767" s="3"/>
      <c r="N767" s="3">
        <f t="shared" si="5"/>
        <v>0</v>
      </c>
      <c r="Q767" s="5"/>
      <c r="R767" s="5"/>
    </row>
    <row r="768" ht="31.5" customHeight="1">
      <c r="G768" s="3"/>
      <c r="N768" s="3">
        <f t="shared" si="5"/>
        <v>0</v>
      </c>
      <c r="Q768" s="5"/>
      <c r="R768" s="5"/>
    </row>
    <row r="769" ht="31.5" customHeight="1">
      <c r="G769" s="3"/>
      <c r="N769" s="3">
        <f t="shared" si="5"/>
        <v>0</v>
      </c>
      <c r="Q769" s="5"/>
      <c r="R769" s="5"/>
    </row>
    <row r="770" ht="31.5" customHeight="1">
      <c r="G770" s="3"/>
      <c r="N770" s="3">
        <f t="shared" si="5"/>
        <v>0</v>
      </c>
      <c r="Q770" s="5"/>
      <c r="R770" s="5"/>
    </row>
    <row r="771" ht="31.5" customHeight="1">
      <c r="G771" s="3"/>
      <c r="N771" s="3">
        <f t="shared" si="5"/>
        <v>0</v>
      </c>
      <c r="Q771" s="5"/>
      <c r="R771" s="5"/>
    </row>
    <row r="772" ht="31.5" customHeight="1">
      <c r="G772" s="3"/>
      <c r="N772" s="3">
        <f t="shared" si="5"/>
        <v>0</v>
      </c>
      <c r="Q772" s="5"/>
      <c r="R772" s="5"/>
    </row>
    <row r="773" ht="31.5" customHeight="1">
      <c r="G773" s="3"/>
      <c r="N773" s="3">
        <f t="shared" si="5"/>
        <v>0</v>
      </c>
      <c r="Q773" s="5"/>
      <c r="R773" s="5"/>
    </row>
    <row r="774" ht="31.5" customHeight="1">
      <c r="G774" s="3"/>
      <c r="N774" s="3">
        <f t="shared" si="5"/>
        <v>0</v>
      </c>
      <c r="Q774" s="5"/>
      <c r="R774" s="5"/>
    </row>
    <row r="775" ht="31.5" customHeight="1">
      <c r="G775" s="3"/>
      <c r="N775" s="3">
        <f t="shared" si="5"/>
        <v>0</v>
      </c>
      <c r="Q775" s="5"/>
      <c r="R775" s="5"/>
    </row>
    <row r="776" ht="31.5" customHeight="1">
      <c r="G776" s="3"/>
      <c r="N776" s="3">
        <f t="shared" si="5"/>
        <v>0</v>
      </c>
      <c r="Q776" s="5"/>
      <c r="R776" s="5"/>
    </row>
    <row r="777" ht="31.5" customHeight="1">
      <c r="G777" s="3"/>
      <c r="N777" s="3">
        <f t="shared" si="5"/>
        <v>0</v>
      </c>
      <c r="Q777" s="5"/>
      <c r="R777" s="5"/>
    </row>
    <row r="778" ht="31.5" customHeight="1">
      <c r="G778" s="3"/>
      <c r="N778" s="3">
        <f t="shared" si="5"/>
        <v>0</v>
      </c>
      <c r="Q778" s="5"/>
      <c r="R778" s="5"/>
    </row>
    <row r="779" ht="31.5" customHeight="1">
      <c r="G779" s="3"/>
      <c r="N779" s="3">
        <f t="shared" si="5"/>
        <v>0</v>
      </c>
      <c r="Q779" s="5"/>
      <c r="R779" s="5"/>
    </row>
    <row r="780" ht="31.5" customHeight="1">
      <c r="G780" s="3"/>
      <c r="N780" s="3">
        <f t="shared" si="5"/>
        <v>0</v>
      </c>
      <c r="Q780" s="5"/>
      <c r="R780" s="5"/>
    </row>
    <row r="781" ht="31.5" customHeight="1">
      <c r="G781" s="3"/>
      <c r="N781" s="3">
        <f t="shared" si="5"/>
        <v>0</v>
      </c>
      <c r="Q781" s="5"/>
      <c r="R781" s="5"/>
    </row>
    <row r="782" ht="31.5" customHeight="1">
      <c r="G782" s="3"/>
      <c r="N782" s="3">
        <f t="shared" si="5"/>
        <v>0</v>
      </c>
      <c r="Q782" s="5"/>
      <c r="R782" s="5"/>
    </row>
    <row r="783" ht="31.5" customHeight="1">
      <c r="G783" s="3"/>
      <c r="N783" s="3">
        <f t="shared" si="5"/>
        <v>0</v>
      </c>
      <c r="Q783" s="5"/>
      <c r="R783" s="5"/>
    </row>
    <row r="784" ht="31.5" customHeight="1">
      <c r="G784" s="3"/>
      <c r="N784" s="3">
        <f t="shared" si="5"/>
        <v>0</v>
      </c>
      <c r="Q784" s="5"/>
      <c r="R784" s="5"/>
    </row>
    <row r="785" ht="31.5" customHeight="1">
      <c r="G785" s="3"/>
      <c r="N785" s="3">
        <f t="shared" si="5"/>
        <v>0</v>
      </c>
      <c r="Q785" s="5"/>
      <c r="R785" s="5"/>
    </row>
    <row r="786" ht="31.5" customHeight="1">
      <c r="G786" s="3"/>
      <c r="N786" s="3">
        <f t="shared" si="5"/>
        <v>0</v>
      </c>
      <c r="Q786" s="5"/>
      <c r="R786" s="5"/>
    </row>
    <row r="787" ht="31.5" customHeight="1">
      <c r="G787" s="3"/>
      <c r="N787" s="3">
        <f t="shared" si="5"/>
        <v>0</v>
      </c>
      <c r="Q787" s="5"/>
      <c r="R787" s="5"/>
    </row>
    <row r="788" ht="31.5" customHeight="1">
      <c r="G788" s="3"/>
      <c r="N788" s="3">
        <f t="shared" si="5"/>
        <v>0</v>
      </c>
      <c r="Q788" s="5"/>
      <c r="R788" s="5"/>
    </row>
    <row r="789" ht="31.5" customHeight="1">
      <c r="G789" s="3"/>
      <c r="N789" s="3">
        <f t="shared" si="5"/>
        <v>0</v>
      </c>
      <c r="Q789" s="5"/>
      <c r="R789" s="5"/>
    </row>
    <row r="790" ht="31.5" customHeight="1">
      <c r="G790" s="3"/>
      <c r="N790" s="3">
        <f t="shared" si="5"/>
        <v>0</v>
      </c>
      <c r="Q790" s="5"/>
      <c r="R790" s="5"/>
    </row>
    <row r="791" ht="31.5" customHeight="1">
      <c r="G791" s="3"/>
      <c r="N791" s="3">
        <f t="shared" si="5"/>
        <v>0</v>
      </c>
      <c r="Q791" s="5"/>
      <c r="R791" s="5"/>
    </row>
    <row r="792" ht="31.5" customHeight="1">
      <c r="G792" s="3"/>
      <c r="N792" s="3">
        <f t="shared" si="5"/>
        <v>0</v>
      </c>
      <c r="Q792" s="5"/>
      <c r="R792" s="5"/>
    </row>
    <row r="793" ht="31.5" customHeight="1">
      <c r="G793" s="3"/>
      <c r="N793" s="3">
        <f t="shared" si="5"/>
        <v>0</v>
      </c>
      <c r="Q793" s="5"/>
      <c r="R793" s="5"/>
    </row>
    <row r="794" ht="31.5" customHeight="1">
      <c r="G794" s="3"/>
      <c r="N794" s="3">
        <f t="shared" si="5"/>
        <v>0</v>
      </c>
      <c r="Q794" s="5"/>
      <c r="R794" s="5"/>
    </row>
    <row r="795" ht="31.5" customHeight="1">
      <c r="G795" s="3"/>
      <c r="N795" s="3">
        <f t="shared" si="5"/>
        <v>0</v>
      </c>
      <c r="Q795" s="5"/>
      <c r="R795" s="5"/>
    </row>
    <row r="796" ht="31.5" customHeight="1">
      <c r="G796" s="3"/>
      <c r="N796" s="3">
        <f t="shared" si="5"/>
        <v>0</v>
      </c>
      <c r="Q796" s="5"/>
      <c r="R796" s="5"/>
    </row>
    <row r="797" ht="31.5" customHeight="1">
      <c r="G797" s="3"/>
      <c r="N797" s="3">
        <f t="shared" si="5"/>
        <v>0</v>
      </c>
      <c r="Q797" s="5"/>
      <c r="R797" s="5"/>
    </row>
    <row r="798" ht="31.5" customHeight="1">
      <c r="G798" s="3"/>
      <c r="N798" s="3">
        <f t="shared" si="5"/>
        <v>0</v>
      </c>
      <c r="Q798" s="5"/>
      <c r="R798" s="5"/>
    </row>
    <row r="799" ht="31.5" customHeight="1">
      <c r="G799" s="3"/>
      <c r="N799" s="3">
        <f t="shared" si="5"/>
        <v>0</v>
      </c>
      <c r="Q799" s="5"/>
      <c r="R799" s="5"/>
    </row>
    <row r="800" ht="31.5" customHeight="1">
      <c r="G800" s="3"/>
      <c r="N800" s="3">
        <f t="shared" si="5"/>
        <v>0</v>
      </c>
      <c r="Q800" s="5"/>
      <c r="R800" s="5"/>
    </row>
    <row r="801" ht="31.5" customHeight="1">
      <c r="G801" s="3"/>
      <c r="N801" s="3">
        <f t="shared" si="5"/>
        <v>0</v>
      </c>
      <c r="Q801" s="5"/>
      <c r="R801" s="5"/>
    </row>
    <row r="802" ht="31.5" customHeight="1">
      <c r="G802" s="3"/>
      <c r="N802" s="3">
        <f t="shared" si="5"/>
        <v>0</v>
      </c>
      <c r="Q802" s="5"/>
      <c r="R802" s="5"/>
    </row>
    <row r="803" ht="31.5" customHeight="1">
      <c r="G803" s="3"/>
      <c r="N803" s="3">
        <f t="shared" si="5"/>
        <v>0</v>
      </c>
      <c r="Q803" s="5"/>
      <c r="R803" s="5"/>
    </row>
    <row r="804" ht="31.5" customHeight="1">
      <c r="G804" s="3"/>
      <c r="N804" s="3">
        <f t="shared" si="5"/>
        <v>0</v>
      </c>
      <c r="Q804" s="5"/>
      <c r="R804" s="5"/>
    </row>
    <row r="805" ht="31.5" customHeight="1">
      <c r="G805" s="3"/>
      <c r="N805" s="3">
        <f t="shared" si="5"/>
        <v>0</v>
      </c>
      <c r="Q805" s="5"/>
      <c r="R805" s="5"/>
    </row>
    <row r="806" ht="31.5" customHeight="1">
      <c r="G806" s="3"/>
      <c r="N806" s="3">
        <f t="shared" si="5"/>
        <v>0</v>
      </c>
      <c r="Q806" s="5"/>
      <c r="R806" s="5"/>
    </row>
    <row r="807" ht="31.5" customHeight="1">
      <c r="G807" s="3"/>
      <c r="N807" s="3">
        <f t="shared" si="5"/>
        <v>0</v>
      </c>
      <c r="Q807" s="5"/>
      <c r="R807" s="5"/>
    </row>
    <row r="808" ht="31.5" customHeight="1">
      <c r="G808" s="3"/>
      <c r="N808" s="3">
        <f t="shared" si="5"/>
        <v>0</v>
      </c>
      <c r="Q808" s="5"/>
      <c r="R808" s="5"/>
    </row>
    <row r="809" ht="31.5" customHeight="1">
      <c r="G809" s="3"/>
      <c r="N809" s="3">
        <f t="shared" si="5"/>
        <v>0</v>
      </c>
      <c r="Q809" s="5"/>
      <c r="R809" s="5"/>
    </row>
    <row r="810" ht="31.5" customHeight="1">
      <c r="G810" s="3"/>
      <c r="N810" s="3">
        <f t="shared" si="5"/>
        <v>0</v>
      </c>
      <c r="Q810" s="5"/>
      <c r="R810" s="5"/>
    </row>
    <row r="811" ht="31.5" customHeight="1">
      <c r="G811" s="3"/>
      <c r="N811" s="3">
        <f t="shared" si="5"/>
        <v>0</v>
      </c>
      <c r="Q811" s="5"/>
      <c r="R811" s="5"/>
    </row>
    <row r="812" ht="31.5" customHeight="1">
      <c r="G812" s="3"/>
      <c r="N812" s="3">
        <f t="shared" si="5"/>
        <v>0</v>
      </c>
      <c r="Q812" s="5"/>
      <c r="R812" s="5"/>
    </row>
    <row r="813" ht="31.5" customHeight="1">
      <c r="G813" s="3"/>
      <c r="N813" s="3">
        <f t="shared" si="5"/>
        <v>0</v>
      </c>
      <c r="Q813" s="5"/>
      <c r="R813" s="5"/>
    </row>
    <row r="814" ht="31.5" customHeight="1">
      <c r="G814" s="3"/>
      <c r="N814" s="3">
        <f t="shared" si="5"/>
        <v>0</v>
      </c>
      <c r="Q814" s="5"/>
      <c r="R814" s="5"/>
    </row>
    <row r="815" ht="31.5" customHeight="1">
      <c r="G815" s="3"/>
      <c r="N815" s="3">
        <f t="shared" si="5"/>
        <v>0</v>
      </c>
      <c r="Q815" s="5"/>
      <c r="R815" s="5"/>
    </row>
    <row r="816" ht="31.5" customHeight="1">
      <c r="G816" s="3"/>
      <c r="N816" s="3">
        <f t="shared" si="5"/>
        <v>0</v>
      </c>
      <c r="Q816" s="5"/>
      <c r="R816" s="5"/>
    </row>
    <row r="817" ht="31.5" customHeight="1">
      <c r="G817" s="3"/>
      <c r="N817" s="3">
        <f t="shared" si="5"/>
        <v>0</v>
      </c>
      <c r="Q817" s="5"/>
      <c r="R817" s="5"/>
    </row>
    <row r="818" ht="31.5" customHeight="1">
      <c r="G818" s="3"/>
      <c r="N818" s="3">
        <f t="shared" si="5"/>
        <v>0</v>
      </c>
      <c r="Q818" s="5"/>
      <c r="R818" s="5"/>
    </row>
    <row r="819" ht="31.5" customHeight="1">
      <c r="G819" s="3"/>
      <c r="N819" s="3">
        <f t="shared" si="5"/>
        <v>0</v>
      </c>
      <c r="Q819" s="5"/>
      <c r="R819" s="5"/>
    </row>
    <row r="820" ht="31.5" customHeight="1">
      <c r="G820" s="3"/>
      <c r="N820" s="3">
        <f t="shared" si="5"/>
        <v>0</v>
      </c>
      <c r="Q820" s="5"/>
      <c r="R820" s="5"/>
    </row>
    <row r="821" ht="31.5" customHeight="1">
      <c r="G821" s="3"/>
      <c r="N821" s="3">
        <f t="shared" si="5"/>
        <v>0</v>
      </c>
      <c r="Q821" s="5"/>
      <c r="R821" s="5"/>
    </row>
    <row r="822" ht="31.5" customHeight="1">
      <c r="G822" s="3"/>
      <c r="N822" s="3">
        <f t="shared" si="5"/>
        <v>0</v>
      </c>
      <c r="Q822" s="5"/>
      <c r="R822" s="5"/>
    </row>
    <row r="823" ht="31.5" customHeight="1">
      <c r="G823" s="3"/>
      <c r="N823" s="3">
        <f t="shared" si="5"/>
        <v>0</v>
      </c>
      <c r="Q823" s="5"/>
      <c r="R823" s="5"/>
    </row>
    <row r="824" ht="31.5" customHeight="1">
      <c r="G824" s="3"/>
      <c r="N824" s="3">
        <f t="shared" si="5"/>
        <v>0</v>
      </c>
      <c r="Q824" s="5"/>
      <c r="R824" s="5"/>
    </row>
    <row r="825" ht="31.5" customHeight="1">
      <c r="G825" s="3"/>
      <c r="N825" s="3">
        <f t="shared" si="5"/>
        <v>0</v>
      </c>
      <c r="Q825" s="5"/>
      <c r="R825" s="5"/>
    </row>
    <row r="826" ht="31.5" customHeight="1">
      <c r="G826" s="3"/>
      <c r="N826" s="3">
        <f t="shared" si="5"/>
        <v>0</v>
      </c>
      <c r="Q826" s="5"/>
      <c r="R826" s="5"/>
    </row>
    <row r="827" ht="31.5" customHeight="1">
      <c r="G827" s="3"/>
      <c r="N827" s="3">
        <f t="shared" si="5"/>
        <v>0</v>
      </c>
      <c r="Q827" s="5"/>
      <c r="R827" s="5"/>
    </row>
    <row r="828" ht="31.5" customHeight="1">
      <c r="G828" s="3"/>
      <c r="N828" s="3">
        <f t="shared" si="5"/>
        <v>0</v>
      </c>
      <c r="Q828" s="5"/>
      <c r="R828" s="5"/>
    </row>
    <row r="829" ht="31.5" customHeight="1">
      <c r="G829" s="3"/>
      <c r="N829" s="3">
        <f t="shared" si="5"/>
        <v>0</v>
      </c>
      <c r="Q829" s="5"/>
      <c r="R829" s="5"/>
    </row>
    <row r="830" ht="31.5" customHeight="1">
      <c r="G830" s="3"/>
      <c r="N830" s="3">
        <f t="shared" si="5"/>
        <v>0</v>
      </c>
      <c r="Q830" s="5"/>
      <c r="R830" s="5"/>
    </row>
    <row r="831" ht="31.5" customHeight="1">
      <c r="G831" s="3"/>
      <c r="N831" s="3">
        <f t="shared" si="5"/>
        <v>0</v>
      </c>
      <c r="Q831" s="5"/>
      <c r="R831" s="5"/>
    </row>
    <row r="832" ht="31.5" customHeight="1">
      <c r="G832" s="3"/>
      <c r="N832" s="3">
        <f t="shared" si="5"/>
        <v>0</v>
      </c>
      <c r="Q832" s="5"/>
      <c r="R832" s="5"/>
    </row>
    <row r="833" ht="31.5" customHeight="1">
      <c r="G833" s="3"/>
      <c r="N833" s="3">
        <f t="shared" si="5"/>
        <v>0</v>
      </c>
      <c r="Q833" s="5"/>
      <c r="R833" s="5"/>
    </row>
    <row r="834" ht="31.5" customHeight="1">
      <c r="G834" s="3"/>
      <c r="N834" s="3">
        <f t="shared" si="5"/>
        <v>0</v>
      </c>
      <c r="Q834" s="5"/>
      <c r="R834" s="5"/>
    </row>
    <row r="835" ht="31.5" customHeight="1">
      <c r="G835" s="3"/>
      <c r="N835" s="3">
        <f t="shared" si="5"/>
        <v>0</v>
      </c>
      <c r="Q835" s="5"/>
      <c r="R835" s="5"/>
    </row>
    <row r="836" ht="31.5" customHeight="1">
      <c r="G836" s="3"/>
      <c r="N836" s="3">
        <f t="shared" si="5"/>
        <v>0</v>
      </c>
      <c r="Q836" s="5"/>
      <c r="R836" s="5"/>
    </row>
    <row r="837" ht="31.5" customHeight="1">
      <c r="G837" s="3"/>
      <c r="N837" s="3">
        <f t="shared" si="5"/>
        <v>0</v>
      </c>
      <c r="Q837" s="5"/>
      <c r="R837" s="5"/>
    </row>
    <row r="838" ht="31.5" customHeight="1">
      <c r="G838" s="3"/>
      <c r="N838" s="3">
        <f t="shared" si="5"/>
        <v>0</v>
      </c>
      <c r="Q838" s="5"/>
      <c r="R838" s="5"/>
    </row>
    <row r="839" ht="31.5" customHeight="1">
      <c r="G839" s="3"/>
      <c r="N839" s="3">
        <f t="shared" si="5"/>
        <v>0</v>
      </c>
      <c r="Q839" s="5"/>
      <c r="R839" s="5"/>
    </row>
    <row r="840" ht="31.5" customHeight="1">
      <c r="G840" s="3"/>
      <c r="N840" s="3">
        <f t="shared" si="5"/>
        <v>0</v>
      </c>
      <c r="Q840" s="5"/>
      <c r="R840" s="5"/>
    </row>
    <row r="841" ht="31.5" customHeight="1">
      <c r="G841" s="3"/>
      <c r="N841" s="3">
        <f t="shared" si="5"/>
        <v>0</v>
      </c>
      <c r="Q841" s="5"/>
      <c r="R841" s="5"/>
    </row>
    <row r="842" ht="31.5" customHeight="1">
      <c r="G842" s="3"/>
      <c r="N842" s="3">
        <f t="shared" si="5"/>
        <v>0</v>
      </c>
      <c r="Q842" s="5"/>
      <c r="R842" s="5"/>
    </row>
    <row r="843" ht="31.5" customHeight="1">
      <c r="G843" s="3"/>
      <c r="N843" s="3">
        <f t="shared" si="5"/>
        <v>0</v>
      </c>
      <c r="Q843" s="5"/>
      <c r="R843" s="5"/>
    </row>
    <row r="844" ht="31.5" customHeight="1">
      <c r="G844" s="3"/>
      <c r="N844" s="3">
        <f t="shared" si="5"/>
        <v>0</v>
      </c>
      <c r="Q844" s="5"/>
      <c r="R844" s="5"/>
    </row>
    <row r="845" ht="31.5" customHeight="1">
      <c r="G845" s="3"/>
      <c r="N845" s="3">
        <f t="shared" si="5"/>
        <v>0</v>
      </c>
      <c r="Q845" s="5"/>
      <c r="R845" s="5"/>
    </row>
    <row r="846" ht="31.5" customHeight="1">
      <c r="G846" s="3"/>
      <c r="N846" s="3">
        <f t="shared" si="5"/>
        <v>0</v>
      </c>
      <c r="Q846" s="5"/>
      <c r="R846" s="5"/>
    </row>
    <row r="847" ht="31.5" customHeight="1">
      <c r="G847" s="3"/>
      <c r="N847" s="3">
        <f t="shared" si="5"/>
        <v>0</v>
      </c>
      <c r="Q847" s="5"/>
      <c r="R847" s="5"/>
    </row>
    <row r="848" ht="31.5" customHeight="1">
      <c r="G848" s="3"/>
      <c r="N848" s="3">
        <f t="shared" si="5"/>
        <v>0</v>
      </c>
      <c r="Q848" s="5"/>
      <c r="R848" s="5"/>
    </row>
    <row r="849" ht="31.5" customHeight="1">
      <c r="G849" s="3"/>
      <c r="N849" s="3">
        <f t="shared" si="5"/>
        <v>0</v>
      </c>
      <c r="Q849" s="5"/>
      <c r="R849" s="5"/>
    </row>
    <row r="850" ht="31.5" customHeight="1">
      <c r="G850" s="3"/>
      <c r="N850" s="3">
        <f t="shared" si="5"/>
        <v>0</v>
      </c>
      <c r="Q850" s="5"/>
      <c r="R850" s="5"/>
    </row>
    <row r="851" ht="31.5" customHeight="1">
      <c r="G851" s="3"/>
      <c r="N851" s="3">
        <f t="shared" si="5"/>
        <v>0</v>
      </c>
      <c r="Q851" s="5"/>
      <c r="R851" s="5"/>
    </row>
    <row r="852" ht="31.5" customHeight="1">
      <c r="G852" s="3"/>
      <c r="N852" s="3">
        <f t="shared" si="5"/>
        <v>0</v>
      </c>
      <c r="Q852" s="5"/>
      <c r="R852" s="5"/>
    </row>
    <row r="853" ht="31.5" customHeight="1">
      <c r="G853" s="3"/>
      <c r="N853" s="3">
        <f t="shared" si="5"/>
        <v>0</v>
      </c>
      <c r="Q853" s="5"/>
      <c r="R853" s="5"/>
    </row>
    <row r="854" ht="31.5" customHeight="1">
      <c r="G854" s="3"/>
      <c r="N854" s="3">
        <f t="shared" si="5"/>
        <v>0</v>
      </c>
      <c r="Q854" s="5"/>
      <c r="R854" s="5"/>
    </row>
    <row r="855" ht="31.5" customHeight="1">
      <c r="G855" s="3"/>
      <c r="N855" s="3">
        <f t="shared" si="5"/>
        <v>0</v>
      </c>
      <c r="Q855" s="5"/>
      <c r="R855" s="5"/>
    </row>
    <row r="856" ht="31.5" customHeight="1">
      <c r="G856" s="3"/>
      <c r="N856" s="3">
        <f t="shared" si="5"/>
        <v>0</v>
      </c>
      <c r="Q856" s="5"/>
      <c r="R856" s="5"/>
    </row>
    <row r="857" ht="31.5" customHeight="1">
      <c r="G857" s="3"/>
      <c r="N857" s="3">
        <f t="shared" si="5"/>
        <v>0</v>
      </c>
      <c r="Q857" s="5"/>
      <c r="R857" s="5"/>
    </row>
    <row r="858" ht="31.5" customHeight="1">
      <c r="G858" s="3"/>
      <c r="N858" s="3">
        <f t="shared" si="5"/>
        <v>0</v>
      </c>
      <c r="Q858" s="5"/>
      <c r="R858" s="5"/>
    </row>
    <row r="859" ht="31.5" customHeight="1">
      <c r="G859" s="3"/>
      <c r="N859" s="3">
        <f t="shared" si="5"/>
        <v>0</v>
      </c>
      <c r="Q859" s="5"/>
      <c r="R859" s="5"/>
    </row>
    <row r="860" ht="31.5" customHeight="1">
      <c r="G860" s="3"/>
      <c r="N860" s="3">
        <f t="shared" si="5"/>
        <v>0</v>
      </c>
      <c r="Q860" s="5"/>
      <c r="R860" s="5"/>
    </row>
    <row r="861" ht="31.5" customHeight="1">
      <c r="G861" s="3"/>
      <c r="N861" s="3">
        <f t="shared" si="5"/>
        <v>0</v>
      </c>
      <c r="Q861" s="5"/>
      <c r="R861" s="5"/>
    </row>
    <row r="862" ht="31.5" customHeight="1">
      <c r="G862" s="3"/>
      <c r="N862" s="3">
        <f t="shared" si="5"/>
        <v>0</v>
      </c>
      <c r="Q862" s="5"/>
      <c r="R862" s="5"/>
    </row>
    <row r="863" ht="31.5" customHeight="1">
      <c r="G863" s="3"/>
      <c r="N863" s="3">
        <f t="shared" si="5"/>
        <v>0</v>
      </c>
      <c r="Q863" s="5"/>
      <c r="R863" s="5"/>
    </row>
    <row r="864" ht="31.5" customHeight="1">
      <c r="G864" s="3"/>
      <c r="N864" s="3">
        <f t="shared" si="5"/>
        <v>0</v>
      </c>
      <c r="Q864" s="5"/>
      <c r="R864" s="5"/>
    </row>
    <row r="865" ht="31.5" customHeight="1">
      <c r="G865" s="3"/>
      <c r="N865" s="3">
        <f t="shared" si="5"/>
        <v>0</v>
      </c>
      <c r="Q865" s="5"/>
      <c r="R865" s="5"/>
    </row>
    <row r="866" ht="31.5" customHeight="1">
      <c r="G866" s="3"/>
      <c r="N866" s="3">
        <f t="shared" si="5"/>
        <v>0</v>
      </c>
      <c r="Q866" s="5"/>
      <c r="R866" s="5"/>
    </row>
    <row r="867" ht="31.5" customHeight="1">
      <c r="G867" s="3"/>
      <c r="N867" s="3">
        <f t="shared" si="5"/>
        <v>0</v>
      </c>
      <c r="Q867" s="5"/>
      <c r="R867" s="5"/>
    </row>
    <row r="868" ht="31.5" customHeight="1">
      <c r="G868" s="3"/>
      <c r="N868" s="3">
        <f t="shared" si="5"/>
        <v>0</v>
      </c>
      <c r="Q868" s="5"/>
      <c r="R868" s="5"/>
    </row>
    <row r="869" ht="31.5" customHeight="1">
      <c r="G869" s="3"/>
      <c r="N869" s="3">
        <f t="shared" si="5"/>
        <v>0</v>
      </c>
      <c r="Q869" s="5"/>
      <c r="R869" s="5"/>
    </row>
    <row r="870" ht="31.5" customHeight="1">
      <c r="G870" s="3"/>
      <c r="N870" s="3">
        <f t="shared" si="5"/>
        <v>0</v>
      </c>
      <c r="Q870" s="5"/>
      <c r="R870" s="5"/>
    </row>
    <row r="871" ht="31.5" customHeight="1">
      <c r="G871" s="3"/>
      <c r="N871" s="3">
        <f t="shared" si="5"/>
        <v>0</v>
      </c>
      <c r="Q871" s="5"/>
      <c r="R871" s="5"/>
    </row>
    <row r="872" ht="31.5" customHeight="1">
      <c r="G872" s="3"/>
      <c r="N872" s="3">
        <f t="shared" si="5"/>
        <v>0</v>
      </c>
      <c r="Q872" s="5"/>
      <c r="R872" s="5"/>
    </row>
    <row r="873" ht="31.5" customHeight="1">
      <c r="G873" s="3"/>
      <c r="N873" s="3">
        <f t="shared" si="5"/>
        <v>0</v>
      </c>
      <c r="Q873" s="5"/>
      <c r="R873" s="5"/>
    </row>
    <row r="874" ht="31.5" customHeight="1">
      <c r="G874" s="3"/>
      <c r="N874" s="3">
        <f t="shared" si="5"/>
        <v>0</v>
      </c>
      <c r="Q874" s="5"/>
      <c r="R874" s="5"/>
    </row>
    <row r="875" ht="31.5" customHeight="1">
      <c r="G875" s="3"/>
      <c r="N875" s="3">
        <f t="shared" si="5"/>
        <v>0</v>
      </c>
      <c r="Q875" s="5"/>
      <c r="R875" s="5"/>
    </row>
    <row r="876" ht="31.5" customHeight="1">
      <c r="G876" s="3"/>
      <c r="N876" s="3">
        <f t="shared" si="5"/>
        <v>0</v>
      </c>
      <c r="Q876" s="5"/>
      <c r="R876" s="5"/>
    </row>
    <row r="877" ht="31.5" customHeight="1">
      <c r="G877" s="3"/>
      <c r="N877" s="3">
        <f t="shared" si="5"/>
        <v>0</v>
      </c>
      <c r="Q877" s="5"/>
      <c r="R877" s="5"/>
    </row>
    <row r="878" ht="31.5" customHeight="1">
      <c r="G878" s="3"/>
      <c r="N878" s="3">
        <f t="shared" si="5"/>
        <v>0</v>
      </c>
      <c r="Q878" s="5"/>
      <c r="R878" s="5"/>
    </row>
    <row r="879" ht="31.5" customHeight="1">
      <c r="G879" s="3"/>
      <c r="N879" s="3">
        <f t="shared" si="5"/>
        <v>0</v>
      </c>
      <c r="Q879" s="5"/>
      <c r="R879" s="5"/>
    </row>
    <row r="880" ht="31.5" customHeight="1">
      <c r="G880" s="3"/>
      <c r="N880" s="3">
        <f t="shared" si="5"/>
        <v>0</v>
      </c>
      <c r="Q880" s="5"/>
      <c r="R880" s="5"/>
    </row>
    <row r="881" ht="31.5" customHeight="1">
      <c r="G881" s="3"/>
      <c r="N881" s="3">
        <f t="shared" si="5"/>
        <v>0</v>
      </c>
      <c r="Q881" s="5"/>
      <c r="R881" s="5"/>
    </row>
    <row r="882" ht="31.5" customHeight="1">
      <c r="G882" s="3"/>
      <c r="N882" s="3">
        <f t="shared" si="5"/>
        <v>0</v>
      </c>
      <c r="Q882" s="5"/>
      <c r="R882" s="5"/>
    </row>
    <row r="883" ht="31.5" customHeight="1">
      <c r="G883" s="3"/>
      <c r="N883" s="3">
        <f t="shared" si="5"/>
        <v>0</v>
      </c>
      <c r="Q883" s="5"/>
      <c r="R883" s="5"/>
    </row>
    <row r="884" ht="31.5" customHeight="1">
      <c r="G884" s="3"/>
      <c r="N884" s="3">
        <f t="shared" si="5"/>
        <v>0</v>
      </c>
      <c r="Q884" s="5"/>
      <c r="R884" s="5"/>
    </row>
    <row r="885" ht="31.5" customHeight="1">
      <c r="G885" s="3"/>
      <c r="N885" s="3">
        <f t="shared" si="5"/>
        <v>0</v>
      </c>
      <c r="Q885" s="5"/>
      <c r="R885" s="5"/>
    </row>
    <row r="886" ht="31.5" customHeight="1">
      <c r="G886" s="3"/>
      <c r="N886" s="3">
        <f t="shared" si="5"/>
        <v>0</v>
      </c>
      <c r="Q886" s="5"/>
      <c r="R886" s="5"/>
    </row>
    <row r="887" ht="31.5" customHeight="1">
      <c r="G887" s="3"/>
      <c r="N887" s="3">
        <f t="shared" si="5"/>
        <v>0</v>
      </c>
      <c r="Q887" s="5"/>
      <c r="R887" s="5"/>
    </row>
    <row r="888" ht="31.5" customHeight="1">
      <c r="G888" s="3"/>
      <c r="N888" s="3">
        <f t="shared" si="5"/>
        <v>0</v>
      </c>
      <c r="Q888" s="5"/>
      <c r="R888" s="5"/>
    </row>
    <row r="889" ht="31.5" customHeight="1">
      <c r="G889" s="3"/>
      <c r="N889" s="3">
        <f t="shared" si="5"/>
        <v>0</v>
      </c>
      <c r="Q889" s="5"/>
      <c r="R889" s="5"/>
    </row>
    <row r="890" ht="31.5" customHeight="1">
      <c r="G890" s="3"/>
      <c r="N890" s="3">
        <f t="shared" si="5"/>
        <v>0</v>
      </c>
      <c r="Q890" s="5"/>
      <c r="R890" s="5"/>
    </row>
    <row r="891" ht="31.5" customHeight="1">
      <c r="G891" s="3"/>
      <c r="N891" s="3">
        <f t="shared" si="5"/>
        <v>0</v>
      </c>
      <c r="Q891" s="5"/>
      <c r="R891" s="5"/>
    </row>
    <row r="892" ht="31.5" customHeight="1">
      <c r="G892" s="3"/>
      <c r="N892" s="3">
        <f t="shared" si="5"/>
        <v>0</v>
      </c>
      <c r="Q892" s="5"/>
      <c r="R892" s="5"/>
    </row>
    <row r="893" ht="31.5" customHeight="1">
      <c r="G893" s="3"/>
      <c r="N893" s="3">
        <f t="shared" si="5"/>
        <v>0</v>
      </c>
      <c r="Q893" s="5"/>
      <c r="R893" s="5"/>
    </row>
    <row r="894" ht="31.5" customHeight="1">
      <c r="G894" s="3"/>
      <c r="N894" s="3">
        <f t="shared" si="5"/>
        <v>0</v>
      </c>
      <c r="Q894" s="5"/>
      <c r="R894" s="5"/>
    </row>
    <row r="895" ht="31.5" customHeight="1">
      <c r="G895" s="3"/>
      <c r="N895" s="3">
        <f t="shared" si="5"/>
        <v>0</v>
      </c>
      <c r="Q895" s="5"/>
      <c r="R895" s="5"/>
    </row>
    <row r="896" ht="31.5" customHeight="1">
      <c r="G896" s="3"/>
      <c r="N896" s="3">
        <f t="shared" si="5"/>
        <v>0</v>
      </c>
      <c r="Q896" s="5"/>
      <c r="R896" s="5"/>
    </row>
    <row r="897" ht="31.5" customHeight="1">
      <c r="G897" s="3"/>
      <c r="N897" s="3">
        <f t="shared" si="5"/>
        <v>0</v>
      </c>
      <c r="Q897" s="5"/>
      <c r="R897" s="5"/>
    </row>
    <row r="898" ht="31.5" customHeight="1">
      <c r="G898" s="3"/>
      <c r="N898" s="3">
        <f t="shared" si="5"/>
        <v>0</v>
      </c>
      <c r="Q898" s="5"/>
      <c r="R898" s="5"/>
    </row>
    <row r="899" ht="31.5" customHeight="1">
      <c r="G899" s="3"/>
      <c r="N899" s="3">
        <f t="shared" si="5"/>
        <v>0</v>
      </c>
      <c r="Q899" s="5"/>
      <c r="R899" s="5"/>
    </row>
    <row r="900" ht="31.5" customHeight="1">
      <c r="G900" s="3"/>
      <c r="N900" s="3">
        <f t="shared" si="5"/>
        <v>0</v>
      </c>
      <c r="Q900" s="5"/>
      <c r="R900" s="5"/>
    </row>
    <row r="901" ht="31.5" customHeight="1">
      <c r="G901" s="3"/>
      <c r="N901" s="3">
        <f t="shared" si="5"/>
        <v>0</v>
      </c>
      <c r="Q901" s="5"/>
      <c r="R901" s="5"/>
    </row>
    <row r="902" ht="31.5" customHeight="1">
      <c r="G902" s="3"/>
      <c r="N902" s="3">
        <f t="shared" si="5"/>
        <v>0</v>
      </c>
      <c r="Q902" s="5"/>
      <c r="R902" s="5"/>
    </row>
    <row r="903" ht="31.5" customHeight="1">
      <c r="G903" s="3"/>
      <c r="N903" s="3">
        <f t="shared" si="5"/>
        <v>0</v>
      </c>
      <c r="Q903" s="5"/>
      <c r="R903" s="5"/>
    </row>
    <row r="904" ht="31.5" customHeight="1">
      <c r="G904" s="3"/>
      <c r="N904" s="3">
        <f t="shared" si="5"/>
        <v>0</v>
      </c>
      <c r="Q904" s="5"/>
      <c r="R904" s="5"/>
    </row>
    <row r="905" ht="31.5" customHeight="1">
      <c r="G905" s="3"/>
      <c r="N905" s="3">
        <f t="shared" si="5"/>
        <v>0</v>
      </c>
      <c r="Q905" s="5"/>
      <c r="R905" s="5"/>
    </row>
    <row r="906" ht="31.5" customHeight="1">
      <c r="G906" s="3"/>
      <c r="N906" s="3">
        <f t="shared" si="5"/>
        <v>0</v>
      </c>
      <c r="Q906" s="5"/>
      <c r="R906" s="5"/>
    </row>
    <row r="907" ht="31.5" customHeight="1">
      <c r="G907" s="3"/>
      <c r="N907" s="3">
        <f t="shared" si="5"/>
        <v>0</v>
      </c>
      <c r="Q907" s="5"/>
      <c r="R907" s="5"/>
    </row>
    <row r="908" ht="31.5" customHeight="1">
      <c r="G908" s="3"/>
      <c r="N908" s="3">
        <f t="shared" si="5"/>
        <v>0</v>
      </c>
      <c r="Q908" s="5"/>
      <c r="R908" s="5"/>
    </row>
    <row r="909" ht="31.5" customHeight="1">
      <c r="G909" s="3"/>
      <c r="N909" s="3">
        <f t="shared" si="5"/>
        <v>0</v>
      </c>
      <c r="Q909" s="5"/>
      <c r="R909" s="5"/>
    </row>
    <row r="910" ht="31.5" customHeight="1">
      <c r="G910" s="3"/>
      <c r="N910" s="3">
        <f t="shared" si="5"/>
        <v>0</v>
      </c>
      <c r="Q910" s="5"/>
      <c r="R910" s="5"/>
    </row>
    <row r="911" ht="31.5" customHeight="1">
      <c r="G911" s="3"/>
      <c r="N911" s="3">
        <f t="shared" si="5"/>
        <v>0</v>
      </c>
      <c r="Q911" s="5"/>
      <c r="R911" s="5"/>
    </row>
    <row r="912" ht="31.5" customHeight="1">
      <c r="G912" s="3"/>
      <c r="N912" s="3">
        <f t="shared" si="5"/>
        <v>0</v>
      </c>
      <c r="Q912" s="5"/>
      <c r="R912" s="5"/>
    </row>
    <row r="913" ht="31.5" customHeight="1">
      <c r="G913" s="3"/>
      <c r="N913" s="3">
        <f t="shared" si="5"/>
        <v>0</v>
      </c>
      <c r="Q913" s="5"/>
      <c r="R913" s="5"/>
    </row>
    <row r="914" ht="31.5" customHeight="1">
      <c r="G914" s="3"/>
      <c r="N914" s="3">
        <f t="shared" si="5"/>
        <v>0</v>
      </c>
      <c r="Q914" s="5"/>
      <c r="R914" s="5"/>
    </row>
    <row r="915" ht="31.5" customHeight="1">
      <c r="G915" s="3"/>
      <c r="N915" s="3">
        <f t="shared" si="5"/>
        <v>0</v>
      </c>
      <c r="Q915" s="5"/>
      <c r="R915" s="5"/>
    </row>
    <row r="916" ht="31.5" customHeight="1">
      <c r="G916" s="3"/>
      <c r="N916" s="3">
        <f t="shared" si="5"/>
        <v>0</v>
      </c>
      <c r="Q916" s="5"/>
      <c r="R916" s="5"/>
    </row>
    <row r="917" ht="31.5" customHeight="1">
      <c r="G917" s="3"/>
      <c r="N917" s="3">
        <f t="shared" si="5"/>
        <v>0</v>
      </c>
      <c r="Q917" s="5"/>
      <c r="R917" s="5"/>
    </row>
    <row r="918" ht="31.5" customHeight="1">
      <c r="G918" s="3"/>
      <c r="N918" s="3">
        <f t="shared" si="5"/>
        <v>0</v>
      </c>
      <c r="Q918" s="5"/>
      <c r="R918" s="5"/>
    </row>
    <row r="919" ht="31.5" customHeight="1">
      <c r="G919" s="3"/>
      <c r="N919" s="3">
        <f t="shared" si="5"/>
        <v>0</v>
      </c>
      <c r="Q919" s="5"/>
      <c r="R919" s="5"/>
    </row>
    <row r="920" ht="31.5" customHeight="1">
      <c r="G920" s="3"/>
      <c r="N920" s="3">
        <f t="shared" si="5"/>
        <v>0</v>
      </c>
      <c r="Q920" s="5"/>
      <c r="R920" s="5"/>
    </row>
    <row r="921" ht="31.5" customHeight="1">
      <c r="G921" s="3"/>
      <c r="N921" s="3">
        <f t="shared" si="5"/>
        <v>0</v>
      </c>
      <c r="Q921" s="5"/>
      <c r="R921" s="5"/>
    </row>
    <row r="922" ht="31.5" customHeight="1">
      <c r="G922" s="3"/>
      <c r="N922" s="3">
        <f t="shared" si="5"/>
        <v>0</v>
      </c>
      <c r="Q922" s="5"/>
      <c r="R922" s="5"/>
    </row>
    <row r="923" ht="31.5" customHeight="1">
      <c r="G923" s="3"/>
      <c r="N923" s="3">
        <f t="shared" si="5"/>
        <v>0</v>
      </c>
      <c r="Q923" s="5"/>
      <c r="R923" s="5"/>
    </row>
    <row r="924" ht="31.5" customHeight="1">
      <c r="G924" s="3"/>
      <c r="N924" s="3">
        <f t="shared" si="5"/>
        <v>0</v>
      </c>
      <c r="Q924" s="5"/>
      <c r="R924" s="5"/>
    </row>
    <row r="925" ht="31.5" customHeight="1">
      <c r="G925" s="3"/>
      <c r="N925" s="3">
        <f t="shared" si="5"/>
        <v>0</v>
      </c>
      <c r="Q925" s="5"/>
      <c r="R925" s="5"/>
    </row>
    <row r="926" ht="31.5" customHeight="1">
      <c r="G926" s="3"/>
      <c r="N926" s="3">
        <f t="shared" si="5"/>
        <v>0</v>
      </c>
      <c r="Q926" s="5"/>
      <c r="R926" s="5"/>
    </row>
    <row r="927" ht="31.5" customHeight="1">
      <c r="G927" s="3"/>
      <c r="N927" s="3">
        <f t="shared" si="5"/>
        <v>0</v>
      </c>
      <c r="Q927" s="5"/>
      <c r="R927" s="5"/>
    </row>
    <row r="928" ht="31.5" customHeight="1">
      <c r="G928" s="3"/>
      <c r="N928" s="3">
        <f t="shared" si="5"/>
        <v>0</v>
      </c>
      <c r="Q928" s="5"/>
      <c r="R928" s="5"/>
    </row>
    <row r="929" ht="31.5" customHeight="1">
      <c r="G929" s="3"/>
      <c r="N929" s="3">
        <f t="shared" si="5"/>
        <v>0</v>
      </c>
      <c r="Q929" s="5"/>
      <c r="R929" s="5"/>
    </row>
    <row r="930" ht="31.5" customHeight="1">
      <c r="G930" s="3"/>
      <c r="N930" s="3">
        <f t="shared" si="5"/>
        <v>0</v>
      </c>
      <c r="Q930" s="5"/>
      <c r="R930" s="5"/>
    </row>
    <row r="931" ht="31.5" customHeight="1">
      <c r="G931" s="3"/>
      <c r="N931" s="3">
        <f t="shared" si="5"/>
        <v>0</v>
      </c>
      <c r="Q931" s="5"/>
      <c r="R931" s="5"/>
    </row>
    <row r="932" ht="31.5" customHeight="1">
      <c r="G932" s="3"/>
      <c r="N932" s="3">
        <f t="shared" si="5"/>
        <v>0</v>
      </c>
      <c r="Q932" s="5"/>
      <c r="R932" s="5"/>
    </row>
    <row r="933" ht="31.5" customHeight="1">
      <c r="G933" s="3"/>
      <c r="N933" s="3">
        <f t="shared" si="5"/>
        <v>0</v>
      </c>
      <c r="Q933" s="5"/>
      <c r="R933" s="5"/>
    </row>
    <row r="934" ht="31.5" customHeight="1">
      <c r="G934" s="3"/>
      <c r="N934" s="3">
        <f t="shared" si="5"/>
        <v>0</v>
      </c>
      <c r="Q934" s="5"/>
      <c r="R934" s="5"/>
    </row>
    <row r="935" ht="31.5" customHeight="1">
      <c r="G935" s="3"/>
      <c r="N935" s="3">
        <f t="shared" si="5"/>
        <v>0</v>
      </c>
      <c r="Q935" s="5"/>
      <c r="R935" s="5"/>
    </row>
    <row r="936" ht="31.5" customHeight="1">
      <c r="G936" s="3"/>
      <c r="N936" s="3">
        <f t="shared" si="5"/>
        <v>0</v>
      </c>
      <c r="Q936" s="5"/>
      <c r="R936" s="5"/>
    </row>
    <row r="937" ht="31.5" customHeight="1">
      <c r="G937" s="3"/>
      <c r="N937" s="3">
        <f t="shared" si="5"/>
        <v>0</v>
      </c>
      <c r="Q937" s="5"/>
      <c r="R937" s="5"/>
    </row>
    <row r="938" ht="31.5" customHeight="1">
      <c r="G938" s="3"/>
      <c r="N938" s="3">
        <f t="shared" si="5"/>
        <v>0</v>
      </c>
      <c r="Q938" s="5"/>
      <c r="R938" s="5"/>
    </row>
    <row r="939" ht="31.5" customHeight="1">
      <c r="G939" s="3"/>
      <c r="N939" s="3">
        <f t="shared" si="5"/>
        <v>0</v>
      </c>
      <c r="Q939" s="5"/>
      <c r="R939" s="5"/>
    </row>
    <row r="940" ht="31.5" customHeight="1">
      <c r="G940" s="3"/>
      <c r="N940" s="3">
        <f t="shared" si="5"/>
        <v>0</v>
      </c>
      <c r="Q940" s="5"/>
      <c r="R940" s="5"/>
    </row>
    <row r="941" ht="31.5" customHeight="1">
      <c r="G941" s="3"/>
      <c r="N941" s="3">
        <f t="shared" si="5"/>
        <v>0</v>
      </c>
      <c r="Q941" s="5"/>
      <c r="R941" s="5"/>
    </row>
    <row r="942" ht="31.5" customHeight="1">
      <c r="G942" s="3"/>
      <c r="N942" s="3">
        <f t="shared" si="5"/>
        <v>0</v>
      </c>
      <c r="Q942" s="5"/>
      <c r="R942" s="5"/>
    </row>
    <row r="943" ht="31.5" customHeight="1">
      <c r="G943" s="3"/>
      <c r="N943" s="3">
        <f t="shared" si="5"/>
        <v>0</v>
      </c>
      <c r="Q943" s="5"/>
      <c r="R943" s="5"/>
    </row>
    <row r="944" ht="31.5" customHeight="1">
      <c r="G944" s="3"/>
      <c r="N944" s="3">
        <f t="shared" si="5"/>
        <v>0</v>
      </c>
      <c r="Q944" s="5"/>
      <c r="R944" s="5"/>
    </row>
    <row r="945" ht="31.5" customHeight="1">
      <c r="G945" s="3"/>
      <c r="N945" s="3">
        <f t="shared" si="5"/>
        <v>0</v>
      </c>
      <c r="Q945" s="5"/>
      <c r="R945" s="5"/>
    </row>
    <row r="946" ht="31.5" customHeight="1">
      <c r="G946" s="3"/>
      <c r="N946" s="3">
        <f t="shared" si="5"/>
        <v>0</v>
      </c>
      <c r="Q946" s="5"/>
      <c r="R946" s="5"/>
    </row>
    <row r="947" ht="31.5" customHeight="1">
      <c r="G947" s="3"/>
      <c r="N947" s="3">
        <f t="shared" si="5"/>
        <v>0</v>
      </c>
      <c r="Q947" s="5"/>
      <c r="R947" s="5"/>
    </row>
    <row r="948" ht="31.5" customHeight="1">
      <c r="G948" s="3"/>
      <c r="N948" s="3">
        <f t="shared" si="5"/>
        <v>0</v>
      </c>
      <c r="Q948" s="5"/>
      <c r="R948" s="5"/>
    </row>
    <row r="949" ht="31.5" customHeight="1">
      <c r="G949" s="3"/>
      <c r="N949" s="3">
        <f t="shared" si="5"/>
        <v>0</v>
      </c>
      <c r="Q949" s="5"/>
      <c r="R949" s="5"/>
    </row>
    <row r="950" ht="31.5" customHeight="1">
      <c r="G950" s="3"/>
      <c r="N950" s="3">
        <f t="shared" si="5"/>
        <v>0</v>
      </c>
      <c r="Q950" s="5"/>
      <c r="R950" s="5"/>
    </row>
    <row r="951" ht="31.5" customHeight="1">
      <c r="G951" s="3"/>
      <c r="N951" s="3">
        <f t="shared" si="5"/>
        <v>0</v>
      </c>
      <c r="Q951" s="5"/>
      <c r="R951" s="5"/>
    </row>
    <row r="952" ht="31.5" customHeight="1">
      <c r="G952" s="3"/>
      <c r="N952" s="3">
        <f t="shared" si="5"/>
        <v>0</v>
      </c>
      <c r="Q952" s="5"/>
      <c r="R952" s="5"/>
    </row>
    <row r="953" ht="31.5" customHeight="1">
      <c r="G953" s="3"/>
      <c r="N953" s="3">
        <f t="shared" si="5"/>
        <v>0</v>
      </c>
      <c r="Q953" s="5"/>
      <c r="R953" s="5"/>
    </row>
    <row r="954" ht="31.5" customHeight="1">
      <c r="G954" s="3"/>
      <c r="N954" s="3">
        <f t="shared" si="5"/>
        <v>0</v>
      </c>
      <c r="Q954" s="5"/>
      <c r="R954" s="5"/>
    </row>
    <row r="955" ht="31.5" customHeight="1">
      <c r="G955" s="3"/>
      <c r="N955" s="3">
        <f t="shared" si="5"/>
        <v>0</v>
      </c>
      <c r="Q955" s="5"/>
      <c r="R955" s="5"/>
    </row>
    <row r="956" ht="31.5" customHeight="1">
      <c r="G956" s="3"/>
      <c r="N956" s="3">
        <f t="shared" si="5"/>
        <v>0</v>
      </c>
      <c r="Q956" s="5"/>
      <c r="R956" s="5"/>
    </row>
    <row r="957" ht="31.5" customHeight="1">
      <c r="G957" s="3"/>
      <c r="N957" s="3">
        <f t="shared" si="5"/>
        <v>0</v>
      </c>
      <c r="Q957" s="5"/>
      <c r="R957" s="5"/>
    </row>
    <row r="958" ht="31.5" customHeight="1">
      <c r="G958" s="3"/>
      <c r="N958" s="3">
        <f t="shared" si="5"/>
        <v>0</v>
      </c>
      <c r="Q958" s="5"/>
      <c r="R958" s="5"/>
    </row>
    <row r="959" ht="31.5" customHeight="1">
      <c r="G959" s="3"/>
      <c r="N959" s="3">
        <f t="shared" si="5"/>
        <v>0</v>
      </c>
      <c r="Q959" s="5"/>
      <c r="R959" s="5"/>
    </row>
    <row r="960" ht="31.5" customHeight="1">
      <c r="G960" s="3"/>
      <c r="N960" s="3">
        <f t="shared" si="5"/>
        <v>0</v>
      </c>
      <c r="Q960" s="5"/>
      <c r="R960" s="5"/>
    </row>
    <row r="961" ht="31.5" customHeight="1">
      <c r="G961" s="3"/>
      <c r="N961" s="3">
        <f t="shared" si="5"/>
        <v>0</v>
      </c>
      <c r="Q961" s="5"/>
      <c r="R961" s="5"/>
    </row>
    <row r="962" ht="31.5" customHeight="1">
      <c r="G962" s="3"/>
      <c r="N962" s="3">
        <f t="shared" si="5"/>
        <v>0</v>
      </c>
      <c r="Q962" s="5"/>
      <c r="R962" s="5"/>
    </row>
    <row r="963" ht="31.5" customHeight="1">
      <c r="G963" s="3"/>
      <c r="N963" s="3">
        <f t="shared" si="5"/>
        <v>0</v>
      </c>
      <c r="Q963" s="5"/>
      <c r="R963" s="5"/>
    </row>
    <row r="964" ht="31.5" customHeight="1">
      <c r="G964" s="3"/>
      <c r="N964" s="3">
        <f t="shared" si="5"/>
        <v>0</v>
      </c>
      <c r="Q964" s="5"/>
      <c r="R964" s="5"/>
    </row>
    <row r="965" ht="31.5" customHeight="1">
      <c r="G965" s="3"/>
      <c r="N965" s="3">
        <f t="shared" si="5"/>
        <v>0</v>
      </c>
      <c r="Q965" s="5"/>
      <c r="R965" s="5"/>
    </row>
    <row r="966" ht="31.5" customHeight="1">
      <c r="G966" s="3"/>
      <c r="N966" s="3">
        <f t="shared" si="5"/>
        <v>0</v>
      </c>
      <c r="Q966" s="5"/>
      <c r="R966" s="5"/>
    </row>
    <row r="967" ht="31.5" customHeight="1">
      <c r="G967" s="3"/>
      <c r="N967" s="3">
        <f t="shared" si="5"/>
        <v>0</v>
      </c>
      <c r="Q967" s="5"/>
      <c r="R967" s="5"/>
    </row>
    <row r="968" ht="31.5" customHeight="1">
      <c r="G968" s="3"/>
      <c r="N968" s="3">
        <f t="shared" si="5"/>
        <v>0</v>
      </c>
      <c r="Q968" s="5"/>
      <c r="R968" s="5"/>
    </row>
    <row r="969" ht="31.5" customHeight="1">
      <c r="G969" s="3"/>
      <c r="N969" s="3">
        <f t="shared" si="5"/>
        <v>0</v>
      </c>
      <c r="Q969" s="5"/>
      <c r="R969" s="5"/>
    </row>
    <row r="970" ht="31.5" customHeight="1">
      <c r="G970" s="3"/>
      <c r="N970" s="3">
        <f t="shared" si="5"/>
        <v>0</v>
      </c>
      <c r="Q970" s="5"/>
      <c r="R970" s="5"/>
    </row>
    <row r="971" ht="31.5" customHeight="1">
      <c r="G971" s="3"/>
      <c r="N971" s="3">
        <f t="shared" si="5"/>
        <v>0</v>
      </c>
      <c r="Q971" s="5"/>
      <c r="R971" s="5"/>
    </row>
    <row r="972" ht="31.5" customHeight="1">
      <c r="G972" s="3"/>
      <c r="N972" s="3">
        <f t="shared" si="5"/>
        <v>0</v>
      </c>
      <c r="Q972" s="5"/>
      <c r="R972" s="5"/>
    </row>
    <row r="973" ht="31.5" customHeight="1">
      <c r="G973" s="3"/>
      <c r="N973" s="3">
        <f t="shared" si="5"/>
        <v>0</v>
      </c>
      <c r="Q973" s="5"/>
      <c r="R973" s="5"/>
    </row>
    <row r="974" ht="31.5" customHeight="1">
      <c r="G974" s="3"/>
      <c r="N974" s="3">
        <f t="shared" si="5"/>
        <v>0</v>
      </c>
      <c r="Q974" s="5"/>
      <c r="R974" s="5"/>
    </row>
    <row r="975" ht="31.5" customHeight="1">
      <c r="G975" s="3"/>
      <c r="N975" s="3">
        <f t="shared" si="5"/>
        <v>0</v>
      </c>
      <c r="Q975" s="5"/>
      <c r="R975" s="5"/>
    </row>
    <row r="976" ht="31.5" customHeight="1">
      <c r="G976" s="3"/>
      <c r="N976" s="3">
        <f t="shared" si="5"/>
        <v>0</v>
      </c>
      <c r="Q976" s="5"/>
      <c r="R976" s="5"/>
    </row>
    <row r="977" ht="31.5" customHeight="1">
      <c r="G977" s="3"/>
      <c r="N977" s="3">
        <f t="shared" si="5"/>
        <v>0</v>
      </c>
      <c r="Q977" s="5"/>
      <c r="R977" s="5"/>
    </row>
    <row r="978" ht="31.5" customHeight="1">
      <c r="G978" s="3"/>
      <c r="N978" s="3">
        <f t="shared" si="5"/>
        <v>0</v>
      </c>
      <c r="Q978" s="5"/>
      <c r="R978" s="5"/>
    </row>
    <row r="979" ht="31.5" customHeight="1">
      <c r="G979" s="3"/>
      <c r="N979" s="3">
        <f t="shared" si="5"/>
        <v>0</v>
      </c>
      <c r="Q979" s="5"/>
      <c r="R979" s="5"/>
    </row>
    <row r="980" ht="31.5" customHeight="1">
      <c r="G980" s="3"/>
      <c r="N980" s="3">
        <f t="shared" si="5"/>
        <v>0</v>
      </c>
      <c r="Q980" s="5"/>
      <c r="R980" s="5"/>
    </row>
    <row r="981" ht="31.5" customHeight="1">
      <c r="G981" s="3"/>
      <c r="N981" s="3">
        <f t="shared" si="5"/>
        <v>0</v>
      </c>
      <c r="Q981" s="5"/>
      <c r="R981" s="5"/>
    </row>
    <row r="982" ht="31.5" customHeight="1">
      <c r="G982" s="3"/>
      <c r="N982" s="3">
        <f t="shared" si="5"/>
        <v>0</v>
      </c>
      <c r="Q982" s="5"/>
      <c r="R982" s="5"/>
    </row>
    <row r="983" ht="31.5" customHeight="1">
      <c r="G983" s="3"/>
      <c r="N983" s="3">
        <f t="shared" si="5"/>
        <v>0</v>
      </c>
      <c r="Q983" s="5"/>
      <c r="R983" s="5"/>
    </row>
    <row r="984" ht="31.5" customHeight="1">
      <c r="G984" s="3"/>
      <c r="N984" s="3">
        <f t="shared" si="5"/>
        <v>0</v>
      </c>
      <c r="Q984" s="5"/>
      <c r="R984" s="5"/>
    </row>
    <row r="985" ht="31.5" customHeight="1">
      <c r="G985" s="3"/>
      <c r="N985" s="3">
        <f t="shared" si="5"/>
        <v>0</v>
      </c>
      <c r="Q985" s="5"/>
      <c r="R985" s="5"/>
    </row>
    <row r="986" ht="31.5" customHeight="1">
      <c r="G986" s="3"/>
      <c r="N986" s="3">
        <f t="shared" si="5"/>
        <v>0</v>
      </c>
      <c r="Q986" s="5"/>
      <c r="R986" s="5"/>
    </row>
    <row r="987" ht="31.5" customHeight="1">
      <c r="G987" s="3"/>
      <c r="N987" s="3">
        <f t="shared" si="5"/>
        <v>0</v>
      </c>
      <c r="Q987" s="5"/>
      <c r="R987" s="5"/>
    </row>
    <row r="988" ht="31.5" customHeight="1">
      <c r="G988" s="3"/>
      <c r="N988" s="3">
        <f t="shared" si="5"/>
        <v>0</v>
      </c>
      <c r="Q988" s="5"/>
      <c r="R988" s="5"/>
    </row>
    <row r="989" ht="31.5" customHeight="1">
      <c r="G989" s="3"/>
      <c r="N989" s="3">
        <f t="shared" si="5"/>
        <v>0</v>
      </c>
      <c r="Q989" s="5"/>
      <c r="R989" s="5"/>
    </row>
    <row r="990" ht="31.5" customHeight="1">
      <c r="G990" s="3"/>
      <c r="N990" s="3">
        <f t="shared" si="5"/>
        <v>0</v>
      </c>
      <c r="Q990" s="5"/>
      <c r="R990" s="5"/>
    </row>
    <row r="991" ht="31.5" customHeight="1">
      <c r="G991" s="3"/>
      <c r="N991" s="3">
        <f t="shared" si="5"/>
        <v>0</v>
      </c>
      <c r="Q991" s="5"/>
      <c r="R991" s="5"/>
    </row>
    <row r="992" ht="31.5" customHeight="1">
      <c r="G992" s="3"/>
      <c r="N992" s="3">
        <f t="shared" si="5"/>
        <v>0</v>
      </c>
      <c r="Q992" s="5"/>
      <c r="R992" s="5"/>
    </row>
    <row r="993" ht="31.5" customHeight="1">
      <c r="G993" s="3"/>
      <c r="N993" s="3">
        <f t="shared" si="5"/>
        <v>0</v>
      </c>
      <c r="Q993" s="5"/>
      <c r="R993" s="5"/>
    </row>
    <row r="994" ht="31.5" customHeight="1">
      <c r="G994" s="3"/>
      <c r="N994" s="3">
        <f t="shared" si="5"/>
        <v>0</v>
      </c>
      <c r="Q994" s="5"/>
      <c r="R994" s="5"/>
    </row>
    <row r="995" ht="31.5" customHeight="1">
      <c r="G995" s="3"/>
      <c r="N995" s="3">
        <f t="shared" si="5"/>
        <v>0</v>
      </c>
      <c r="Q995" s="5"/>
      <c r="R995" s="5"/>
    </row>
    <row r="996" ht="31.5" customHeight="1">
      <c r="G996" s="3"/>
      <c r="N996" s="3">
        <f t="shared" si="5"/>
        <v>0</v>
      </c>
      <c r="Q996" s="5"/>
      <c r="R996" s="5"/>
    </row>
    <row r="997" ht="31.5" customHeight="1">
      <c r="G997" s="3"/>
      <c r="N997" s="3">
        <f t="shared" si="5"/>
        <v>0</v>
      </c>
      <c r="Q997" s="5"/>
      <c r="R997" s="5"/>
    </row>
    <row r="998" ht="31.5" customHeight="1">
      <c r="G998" s="3"/>
      <c r="N998" s="3">
        <f t="shared" si="5"/>
        <v>0</v>
      </c>
      <c r="Q998" s="5"/>
      <c r="R998" s="5"/>
    </row>
    <row r="999" ht="31.5" customHeight="1">
      <c r="G999" s="3"/>
      <c r="N999" s="3">
        <f t="shared" si="5"/>
        <v>0</v>
      </c>
      <c r="Q999" s="5"/>
      <c r="R999" s="5"/>
    </row>
  </sheetData>
  <conditionalFormatting sqref="G2:G999">
    <cfRule type="cellIs" dxfId="0" priority="1" operator="equal">
      <formula>"NONE"</formula>
    </cfRule>
  </conditionalFormatting>
  <conditionalFormatting sqref="G2:G999">
    <cfRule type="notContainsText" dxfId="1" priority="2" operator="notContains" text="NONE">
      <formula>ISERROR(SEARCH(("NONE"),(G2)))</formula>
    </cfRule>
  </conditionalFormatting>
  <conditionalFormatting sqref="J2:J999">
    <cfRule type="colorScale" priority="3">
      <colorScale>
        <cfvo type="min"/>
        <cfvo type="max"/>
        <color rgb="FF8E7CC3"/>
        <color rgb="FFFFD966"/>
      </colorScale>
    </cfRule>
  </conditionalFormatting>
  <conditionalFormatting sqref="M2:M999">
    <cfRule type="colorScale" priority="4">
      <colorScale>
        <cfvo type="min"/>
        <cfvo type="max"/>
        <color rgb="FFE06666"/>
        <color rgb="FF93C47D"/>
      </colorScale>
    </cfRule>
  </conditionalFormatting>
  <conditionalFormatting sqref="N2:N999">
    <cfRule type="colorScale" priority="5">
      <colorScale>
        <cfvo type="min"/>
        <cfvo type="formula" val="0"/>
        <cfvo type="max"/>
        <color rgb="FFE06666"/>
        <color rgb="FFBA9572"/>
        <color rgb="FF93C47D"/>
      </colorScale>
    </cfRule>
  </conditionalFormatting>
  <conditionalFormatting sqref="P1:P999">
    <cfRule type="colorScale" priority="6">
      <colorScale>
        <cfvo type="min"/>
        <cfvo type="formula" val="0"/>
        <cfvo type="max"/>
        <color rgb="FFE06666"/>
        <color rgb="FFFFE599"/>
        <color rgb="FF57BB8A"/>
      </colorScale>
    </cfRule>
  </conditionalFormatting>
  <conditionalFormatting sqref="O2:O999">
    <cfRule type="colorScale" priority="7">
      <colorScale>
        <cfvo type="min"/>
        <cfvo type="formula" val="0"/>
        <cfvo type="max"/>
        <color rgb="FFE06666"/>
        <color rgb="FFBA9572"/>
        <color rgb="FF93C47D"/>
      </colorScale>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63"/>
    <col customWidth="1" min="2" max="2" width="18.0"/>
    <col customWidth="1" min="3" max="3" width="19.13"/>
    <col customWidth="1" min="4" max="4" width="10.63"/>
    <col customWidth="1" min="5" max="5" width="12.13"/>
    <col customWidth="1" min="6" max="6" width="23.38"/>
    <col customWidth="1" min="7" max="7" width="27.38"/>
    <col customWidth="1" min="8" max="8" width="30.5"/>
    <col customWidth="1" min="9" max="9" width="31.0"/>
    <col customWidth="1" min="10" max="10" width="30.63"/>
    <col customWidth="1" min="11" max="11" width="14.38"/>
  </cols>
  <sheetData>
    <row r="1">
      <c r="A1" s="1" t="s">
        <v>184</v>
      </c>
      <c r="B1" s="1" t="s">
        <v>185</v>
      </c>
      <c r="C1" s="1" t="s">
        <v>186</v>
      </c>
      <c r="D1" s="1" t="s">
        <v>187</v>
      </c>
      <c r="E1" s="1" t="s">
        <v>188</v>
      </c>
      <c r="F1" s="1" t="s">
        <v>189</v>
      </c>
      <c r="G1" s="1" t="s">
        <v>190</v>
      </c>
      <c r="H1" s="1" t="s">
        <v>191</v>
      </c>
      <c r="I1" s="1" t="s">
        <v>192</v>
      </c>
      <c r="J1" s="1" t="s">
        <v>193</v>
      </c>
      <c r="K1" s="1" t="s">
        <v>194</v>
      </c>
    </row>
    <row r="2">
      <c r="A2" s="2" t="s">
        <v>195</v>
      </c>
    </row>
    <row r="3">
      <c r="A3" s="2" t="s">
        <v>196</v>
      </c>
    </row>
    <row r="4">
      <c r="A4" s="2" t="s">
        <v>197</v>
      </c>
    </row>
    <row r="5">
      <c r="A5" s="2" t="s">
        <v>198</v>
      </c>
    </row>
  </sheetData>
  <drawing r:id="rId1"/>
</worksheet>
</file>