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Master Roster" sheetId="2" r:id="rId6"/>
    <sheet state="visible" name="Officer Roster" sheetId="3" r:id="rId7"/>
    <sheet state="visible" name="AMPM Dashboard" sheetId="4" r:id="rId8"/>
    <sheet state="visible" name="Retention Dashboard" sheetId="5" r:id="rId9"/>
    <sheet state="visible" name="Pillars Dashboard" sheetId="6" r:id="rId10"/>
    <sheet state="visible" name="Years In Review" sheetId="7" r:id="rId11"/>
    <sheet state="visible" name="AMPM Data" sheetId="8" r:id="rId12"/>
    <sheet state="visible" name="Member Analysis (Auto)" sheetId="9" r:id="rId13"/>
  </sheets>
  <definedNames/>
  <calcPr/>
  <pivotCaches>
    <pivotCache cacheId="0" r:id="rId14"/>
    <pivotCache cacheId="1" r:id="rId15"/>
  </pivotCaches>
</workbook>
</file>

<file path=xl/sharedStrings.xml><?xml version="1.0" encoding="utf-8"?>
<sst xmlns="http://schemas.openxmlformats.org/spreadsheetml/2006/main" count="1053" uniqueCount="310">
  <si>
    <t>Start_Date</t>
  </si>
  <si>
    <t>End_Date</t>
  </si>
  <si>
    <t>Event_Name</t>
  </si>
  <si>
    <t>Event_ID</t>
  </si>
  <si>
    <t>Program</t>
  </si>
  <si>
    <t>Organizer</t>
  </si>
  <si>
    <t>Names_of_Participating_Members</t>
  </si>
  <si>
    <t>Unknown_Members</t>
  </si>
  <si>
    <t>Number_of_Participating_Members</t>
  </si>
  <si>
    <t>Number_of_Participating_Non-Members</t>
  </si>
  <si>
    <t>Total_Participants</t>
  </si>
  <si>
    <t>Volunteer_(V)_Faternal_(Ft)_Faith_(Fi)_or_Meeting_(M)_Event</t>
  </si>
  <si>
    <t>Total_Event_Hours</t>
  </si>
  <si>
    <t>Volunteer_Hours_Acquired</t>
  </si>
  <si>
    <t>Franternal_Hours_Acquired</t>
  </si>
  <si>
    <t>Faith_Hours_Acquired</t>
  </si>
  <si>
    <t>Meeting_Hours_Acquired</t>
  </si>
  <si>
    <t>Cost</t>
  </si>
  <si>
    <t>Earnings</t>
  </si>
  <si>
    <t>Budget_Affect</t>
  </si>
  <si>
    <t>Units_Sold_or_Delivered</t>
  </si>
  <si>
    <t>Cost_Per_Unit</t>
  </si>
  <si>
    <t>Individuals_Serviced</t>
  </si>
  <si>
    <t>Impact</t>
  </si>
  <si>
    <t>Notes</t>
  </si>
  <si>
    <t>Piano Moving + Assembling</t>
  </si>
  <si>
    <t>Misc</t>
  </si>
  <si>
    <t>Zhao Yu</t>
  </si>
  <si>
    <t>Zhao Yu, Ryan Yarhi</t>
  </si>
  <si>
    <t>V</t>
  </si>
  <si>
    <t>Christmas Caroling</t>
  </si>
  <si>
    <t>Zhao Yu, Ryan Yarhi, Don Cortez</t>
  </si>
  <si>
    <t>Walk for Life</t>
  </si>
  <si>
    <t>KofC</t>
  </si>
  <si>
    <t>Patrick Cendana, James Gardner, Zhao Yu</t>
  </si>
  <si>
    <t>Silent Retreat on Sacred Heart</t>
  </si>
  <si>
    <t>Retreats</t>
  </si>
  <si>
    <t>Ryan Yarhi</t>
  </si>
  <si>
    <t>Dylan Bergsen, Ryan Yarhi, James Gardner, PJ Duquette, Alex Totter, Zhao Yu</t>
  </si>
  <si>
    <t>Fi</t>
  </si>
  <si>
    <t>Lupe Move</t>
  </si>
  <si>
    <t>Moving Company</t>
  </si>
  <si>
    <t>Robb Northrup</t>
  </si>
  <si>
    <t>Ryan Yarhi, James Gardner, Matthew Combes, Robb Northrup, Dylan Bergsen</t>
  </si>
  <si>
    <t>Robert Move</t>
  </si>
  <si>
    <t>Zhao Yu, Robb Northrup, Alex Totter</t>
  </si>
  <si>
    <t>Officer Meeting</t>
  </si>
  <si>
    <t>Meeting</t>
  </si>
  <si>
    <t>James Gardner</t>
  </si>
  <si>
    <t>James Gardner, Robb Northrup, Matthew Combes, PJ Duquette, Nick Eastwood, Dylan Bergsen</t>
  </si>
  <si>
    <t>M</t>
  </si>
  <si>
    <t>Flood Cleaning</t>
  </si>
  <si>
    <t>Patrick Cendana, James Gardner, Ryan Yarhi, Zhao Yu</t>
  </si>
  <si>
    <t>Alia Move</t>
  </si>
  <si>
    <t>Alex Totter, Joe Yarhi, Robb Northrup, Ryan Yarhi</t>
  </si>
  <si>
    <t>James Gardner, Robb Northrup, Matthew Combes, Dylan Bergsen</t>
  </si>
  <si>
    <t>Great Reno Balloon Race</t>
  </si>
  <si>
    <t>Coordinated with local law enforcement to facilitate the public safety of some of the 150,000 attendees (from Sunday) to the Great Air Balloon Races (Sierra and McCarran intersection). Directed pedestrian and vehicle traffic, collected donations for the Balloon Race that help aid local charities with building homes for Veterans, etc.</t>
  </si>
  <si>
    <t>St. Rose of Lima KofC Averages $8-9k per year in fundraising due to this even alone. This is a great and easy fundraising opportunity for next year!!!</t>
  </si>
  <si>
    <t>Taco Cooking with Our Lady of Snows</t>
  </si>
  <si>
    <t>James Gardner, Zhao Yu, Robb Northrup, Don Cortez</t>
  </si>
  <si>
    <t>College Council Conference 2025</t>
  </si>
  <si>
    <t>Zhao Yu, Robb Northrup</t>
  </si>
  <si>
    <t>Ft</t>
  </si>
  <si>
    <t>Attendees can also look forward to keynote addresses, training sessions, panels, and main stage presentations on council best practices, leadership development, and living as a Catholic gentleman. This trip to the birthplace of our Order will also include a visit to the Blessed Michael McGivney Pilgrimage Center and Mass at St. Mary’s Church - the burial site of Blessed Michael J. McGivney. At this conference you will have the opportunity to meet, network, and exchange ideas with over 200 college council leaders from nearly 100 councils across North America and exchange ideas and best practices with them.</t>
  </si>
  <si>
    <t>Instill that vigor for Christ's work on Earth! New members should attend this event yearly to set them ablaze.</t>
  </si>
  <si>
    <t>Alia and Lupe Move</t>
  </si>
  <si>
    <t>Ryan Yarhi, Robb Northrup</t>
  </si>
  <si>
    <t>COR Meeting, Officers</t>
  </si>
  <si>
    <t>COR</t>
  </si>
  <si>
    <t>Zhao Yu, Robb Northrup, James Gardner, Nick Eastwood, Alex Totter, PJ Duquette</t>
  </si>
  <si>
    <t>Pub n' Sub Hangout</t>
  </si>
  <si>
    <t>Fraternal</t>
  </si>
  <si>
    <t>James Gardner, Robb Northrup, Zhao Yu, Ryan Yarhi</t>
  </si>
  <si>
    <t>Tyler (a potential member) expressed interest in joining the knights and contributing to the newman community</t>
  </si>
  <si>
    <t>General Meeting</t>
  </si>
  <si>
    <t>James Gardner, Alex Totter, Dylan Bergsen, Robb Northrup, PJ Duquette, Zhao Yu, Don Cortez, Matthew Combes</t>
  </si>
  <si>
    <t>Burrito Project</t>
  </si>
  <si>
    <t>Smoke, Smoke, &amp; Smoke</t>
  </si>
  <si>
    <t>James Gardner, Alex Totter, Robb Northrup, PJ Duquette, Zhao Yu, Tyler Cholico, Matthew Combes</t>
  </si>
  <si>
    <t>Coffee &amp; Donuts</t>
  </si>
  <si>
    <t>Feeding the Parish</t>
  </si>
  <si>
    <t>Dylan Bergsen, Robb Northrup</t>
  </si>
  <si>
    <t>Dylan Bergsen, Robb Northrup, James Gardner, Tyler Cholico</t>
  </si>
  <si>
    <t>24 burritos made and distributed to the homeless in Reno</t>
  </si>
  <si>
    <t>Learning experience: Don't do it on a weeknight, require optimally 5-6 people to cook, package, and clean the space in good time (striving for two hours for food prep), have at least two cars to distribute the burritos, go during the day to not deal with druggies (though night wasn't terrible if you know where to go), distribute in pairs of at least two to protect ourselves</t>
  </si>
  <si>
    <t>McCarran Preserve</t>
  </si>
  <si>
    <t>Hike</t>
  </si>
  <si>
    <t>Patrick Cendana</t>
  </si>
  <si>
    <t>Patrick Cendana, Joe Yarhi, Robb Northrup</t>
  </si>
  <si>
    <t>Veterans Day Parade</t>
  </si>
  <si>
    <t>James Gardner, Matthew Combes, Robb Northrup</t>
  </si>
  <si>
    <t>The Lay Apostalate: Mission in the Modern World</t>
  </si>
  <si>
    <t>James Gardner, Zhao Yu, PJ Duquette, Nick Eastwood, Ryan Yarhi, Tyler Cholico, Patrick Cendana, Alex Totter, Leo Pankratz, Juan Camacho-Marales</t>
  </si>
  <si>
    <t>James gave a talk on "The Lay Apostalate: Mission in the Modern World": our mission as laymen within the church for the world in the modern age. In terms of attendance, this was our most successful event thus far!</t>
  </si>
  <si>
    <t>Shopping</t>
  </si>
  <si>
    <t>Packets for the Homeless</t>
  </si>
  <si>
    <t>Nick Eastwood</t>
  </si>
  <si>
    <t>Nick Eastwood, PJ Duquette</t>
  </si>
  <si>
    <t>Kofc</t>
  </si>
  <si>
    <t>Don Cortez, Robb Northrup, James Gardner</t>
  </si>
  <si>
    <t>Assembly</t>
  </si>
  <si>
    <t>Nick Eastwood, Alex Totter</t>
  </si>
  <si>
    <t>Matthew Combes, James Gardner, Robb Northrup, Tyler Cholico, PJ Duquette, Alex Totter, Leo Pankratz, Nick Eastwood, Andrew Izzo</t>
  </si>
  <si>
    <t>Issue coordinating food... a designated POC should be established for ensuring that the entire event runs smoothly and food is available for the event. Maybe consider having a list for people to sign up items for the get-together so we don't have to venmo eachother?</t>
  </si>
  <si>
    <t>10 burritos made and distributed to the homeless in Reno</t>
  </si>
  <si>
    <t>Difficulty getting members to tag along, not communicating project</t>
  </si>
  <si>
    <t>James Gardner, Robb Northrup, Matthias Loop, Alex Totter, Dylan Bergsen</t>
  </si>
  <si>
    <t>Distribution</t>
  </si>
  <si>
    <t>PJ Duquette, Nick Eastwood</t>
  </si>
  <si>
    <t>Nick Eastwood, PJ Duquette, Alex Totter, Don Cortez</t>
  </si>
  <si>
    <t>40 bags delivered to the homeless, huge success!</t>
  </si>
  <si>
    <t>Exemplification</t>
  </si>
  <si>
    <t>James Gardner, Tyler Cholico, Leo Pankratz</t>
  </si>
  <si>
    <t>Both Leo Pankratz and Tyler Cholico were exemplified. This is one of the worst performing exemplificaitons we have had in our council.</t>
  </si>
  <si>
    <t>James Gardner, Tyler Cholico, Nick Eastwood, Don Cortez, Zhao Yu, Alex Totter, Leo Pankratz, Matthew Combes</t>
  </si>
  <si>
    <t>Parish Dinner</t>
  </si>
  <si>
    <t>Zhao Yu, Matthew Combes, James Gardner, Alex Totter, Leo Pankratz</t>
  </si>
  <si>
    <t>Gravestone Cleaning @ Our Mother of Sorrows Cemetary</t>
  </si>
  <si>
    <t>James Gardner, Leo Pankratz</t>
  </si>
  <si>
    <t>Reno Diocesan Conference</t>
  </si>
  <si>
    <t>Steve Brown</t>
  </si>
  <si>
    <t>No Attendance</t>
  </si>
  <si>
    <t>Organ Building</t>
  </si>
  <si>
    <t>Catholic Charities Tour</t>
  </si>
  <si>
    <t>James Gardner, Robb Northrup, Matthew Combes, PJ Duquette, Nick Eastwood</t>
  </si>
  <si>
    <t>Robb Northrup, Tyler Cholico, Don Cortez, Kevin Malone</t>
  </si>
  <si>
    <t>Trouble securing individuals to help due to members dropping out last minute, and not all members being informed of our responsibility</t>
  </si>
  <si>
    <t>Member_First_Name</t>
  </si>
  <si>
    <t>Member_Last_Name</t>
  </si>
  <si>
    <t>Member_Full_Name</t>
  </si>
  <si>
    <t>Member_ID</t>
  </si>
  <si>
    <t>Phone</t>
  </si>
  <si>
    <t>Join_Date</t>
  </si>
  <si>
    <t>Expected_Departure</t>
  </si>
  <si>
    <t>Email</t>
  </si>
  <si>
    <t>Status</t>
  </si>
  <si>
    <t>Attended Events Past 3 Months</t>
  </si>
  <si>
    <t>Recently Active</t>
  </si>
  <si>
    <t>James</t>
  </si>
  <si>
    <t>Gardner</t>
  </si>
  <si>
    <t>Current Member</t>
  </si>
  <si>
    <t>Robb</t>
  </si>
  <si>
    <t>Northrup</t>
  </si>
  <si>
    <t>702-622-3005</t>
  </si>
  <si>
    <t>RobbNorthrup@Outlook.com</t>
  </si>
  <si>
    <t>Zhao</t>
  </si>
  <si>
    <t>Yu</t>
  </si>
  <si>
    <t>937-626-4416</t>
  </si>
  <si>
    <t>Dylan</t>
  </si>
  <si>
    <t>Bergsen</t>
  </si>
  <si>
    <t>Alumni</t>
  </si>
  <si>
    <t>Nick</t>
  </si>
  <si>
    <t>Eastwood</t>
  </si>
  <si>
    <t>PJ</t>
  </si>
  <si>
    <t>Duquette</t>
  </si>
  <si>
    <t>Alex</t>
  </si>
  <si>
    <t>Totter</t>
  </si>
  <si>
    <t>Alvaro</t>
  </si>
  <si>
    <t>Andrew</t>
  </si>
  <si>
    <t>Izzo</t>
  </si>
  <si>
    <t>Boni</t>
  </si>
  <si>
    <t>Jacinto</t>
  </si>
  <si>
    <t>Don</t>
  </si>
  <si>
    <t>Cortez</t>
  </si>
  <si>
    <t>Jack</t>
  </si>
  <si>
    <t>McKinzie</t>
  </si>
  <si>
    <t>Josh</t>
  </si>
  <si>
    <t>Snow</t>
  </si>
  <si>
    <t>Joe</t>
  </si>
  <si>
    <t>Yarhi</t>
  </si>
  <si>
    <t>Juan</t>
  </si>
  <si>
    <t>Camacho-Marales</t>
  </si>
  <si>
    <t>Kevin</t>
  </si>
  <si>
    <t>Malone</t>
  </si>
  <si>
    <t>Leo</t>
  </si>
  <si>
    <t>Pankratz</t>
  </si>
  <si>
    <t>Matthew</t>
  </si>
  <si>
    <t>Combes</t>
  </si>
  <si>
    <t>Noah</t>
  </si>
  <si>
    <t>Backman-Dodge</t>
  </si>
  <si>
    <t>Patrick</t>
  </si>
  <si>
    <t>Cendana</t>
  </si>
  <si>
    <t>Cummings</t>
  </si>
  <si>
    <t>Ryan</t>
  </si>
  <si>
    <t>Xavier</t>
  </si>
  <si>
    <t>Lockerby</t>
  </si>
  <si>
    <t>Tyler</t>
  </si>
  <si>
    <t>Cholico</t>
  </si>
  <si>
    <t>Nathan</t>
  </si>
  <si>
    <t>Soares</t>
  </si>
  <si>
    <t>Matthias</t>
  </si>
  <si>
    <t>Loop</t>
  </si>
  <si>
    <t>Role</t>
  </si>
  <si>
    <t>Grand Knight</t>
  </si>
  <si>
    <t>Deputy Grand Knight</t>
  </si>
  <si>
    <t>Recorder</t>
  </si>
  <si>
    <t>Warden</t>
  </si>
  <si>
    <t>Treasurer</t>
  </si>
  <si>
    <t>Chancellor</t>
  </si>
  <si>
    <t>Trustee</t>
  </si>
  <si>
    <t>Financial Secretary</t>
  </si>
  <si>
    <t>Inside Guard</t>
  </si>
  <si>
    <t>Combs</t>
  </si>
  <si>
    <t>Inactive Members by Expected Departure</t>
  </si>
  <si>
    <t>Events Attended</t>
  </si>
  <si>
    <t>Josh Snow</t>
  </si>
  <si>
    <t>Boni Jacinto</t>
  </si>
  <si>
    <t>Matthias Loop</t>
  </si>
  <si>
    <t>Kevin Malone</t>
  </si>
  <si>
    <t>Nathan Soares</t>
  </si>
  <si>
    <t>Joe Yarhi</t>
  </si>
  <si>
    <t>Patrick Cummings</t>
  </si>
  <si>
    <t>Juan Camacho-Marales</t>
  </si>
  <si>
    <t>Jack McKinzie</t>
  </si>
  <si>
    <t>Xavier Cortez</t>
  </si>
  <si>
    <t>Noah Backman-Dodge</t>
  </si>
  <si>
    <t>Matthew Lockerby</t>
  </si>
  <si>
    <t>Andrew Izzo</t>
  </si>
  <si>
    <t>Dylan Bergsen</t>
  </si>
  <si>
    <t>Grand Total</t>
  </si>
  <si>
    <t>Year_Columbus</t>
  </si>
  <si>
    <t>Total_Faternal_Hours</t>
  </si>
  <si>
    <t>Total_Volunteer_Hours</t>
  </si>
  <si>
    <t>Total_Meeting_Hours</t>
  </si>
  <si>
    <t>Total_Hours</t>
  </si>
  <si>
    <t>Grand_Knight</t>
  </si>
  <si>
    <t>Most_Successful_Organizer</t>
  </si>
  <si>
    <t>Most_Volunteer_Hours_Acquired</t>
  </si>
  <si>
    <t>Most_Successful_Fraternal_Program</t>
  </si>
  <si>
    <t>Most_Successful_Volunteer_Program</t>
  </si>
  <si>
    <t>Most_Successful_Fundraising_Event</t>
  </si>
  <si>
    <t>Affected_Budget</t>
  </si>
  <si>
    <t>Service_Hours_per_Active_Member</t>
  </si>
  <si>
    <t>People_Served_per_Month</t>
  </si>
  <si>
    <t>Number_of_Service_Events</t>
  </si>
  <si>
    <t>Average_Faith_Event_Attendance</t>
  </si>
  <si>
    <t>Faith_Events</t>
  </si>
  <si>
    <t>Funds_Raised</t>
  </si>
  <si>
    <t>2024-2025</t>
  </si>
  <si>
    <t>2025-2026</t>
  </si>
  <si>
    <t>2026-2027</t>
  </si>
  <si>
    <t>2027-2028</t>
  </si>
  <si>
    <t>Date - Year-Month</t>
  </si>
  <si>
    <t>COUNTUNIQUE of Member</t>
  </si>
  <si>
    <t>COUNTA of Activated</t>
  </si>
  <si>
    <t>AVG AMPM Over Last 12 Recorded Months</t>
  </si>
  <si>
    <t>AVG Activated Members Per Month</t>
  </si>
  <si>
    <t>2026-Jan</t>
  </si>
  <si>
    <t>2025-Dec</t>
  </si>
  <si>
    <t>2025-Nov</t>
  </si>
  <si>
    <t>2025-Oct</t>
  </si>
  <si>
    <t>2025-Sep</t>
  </si>
  <si>
    <t>2025-Aug</t>
  </si>
  <si>
    <t>2025-Jul</t>
  </si>
  <si>
    <t>2025-May</t>
  </si>
  <si>
    <t>2025-Mar</t>
  </si>
  <si>
    <t>2025-Jan</t>
  </si>
  <si>
    <t>2024-Dec</t>
  </si>
  <si>
    <t>2024-Oct</t>
  </si>
  <si>
    <t>Member</t>
  </si>
  <si>
    <t>Date</t>
  </si>
  <si>
    <t>Event_Type</t>
  </si>
  <si>
    <t>First_Event_Date</t>
  </si>
  <si>
    <t>First_Event_Month</t>
  </si>
  <si>
    <t>Activated</t>
  </si>
  <si>
    <t>Piano_Moving_+_Assembling_45587</t>
  </si>
  <si>
    <t>Christmas_Caroling_45646</t>
  </si>
  <si>
    <t>Don Cortez</t>
  </si>
  <si>
    <t>Walk_for_Life_45672</t>
  </si>
  <si>
    <t>Silent_Retreat_on_Sacred_Heart_45737</t>
  </si>
  <si>
    <t>PJ Duquette</t>
  </si>
  <si>
    <t>Alex Totter</t>
  </si>
  <si>
    <t>Lupe_Move_45793</t>
  </si>
  <si>
    <t>Matthew Combes</t>
  </si>
  <si>
    <t>Robert_Move_45799</t>
  </si>
  <si>
    <t>Officer_Meeting_45842</t>
  </si>
  <si>
    <t>Flood_Cleaning_45865</t>
  </si>
  <si>
    <t>Alia_Move_45869</t>
  </si>
  <si>
    <t>Officer_Meeting_45890</t>
  </si>
  <si>
    <t>Great_Reno_Balloon_Race_45906</t>
  </si>
  <si>
    <t>Taco_Cooking_with_Our_Lady_of_Snows_45917</t>
  </si>
  <si>
    <t>College_Council_Conference_2025_45926</t>
  </si>
  <si>
    <t>Alia_and_Lupe_Move_45929</t>
  </si>
  <si>
    <t>COR_Meeting,_Officers_45939</t>
  </si>
  <si>
    <t>Pub_n'_Sub_Hangout_45940</t>
  </si>
  <si>
    <t>General_Meeting_45942</t>
  </si>
  <si>
    <t>Burrito_Project_45943</t>
  </si>
  <si>
    <t>Smoke,_Smoke,_&amp;_Smoke_45954</t>
  </si>
  <si>
    <t>Tyler Cholico</t>
  </si>
  <si>
    <t>Coffee_&amp;_Donuts_45956</t>
  </si>
  <si>
    <t>Burrito_Project_45957</t>
  </si>
  <si>
    <t>McCarran_Preserve_45962</t>
  </si>
  <si>
    <t>Veterans_Day_Parade_45972</t>
  </si>
  <si>
    <t>The_Lay_Apostalate:_Mission_in_the_Modern_World_45974</t>
  </si>
  <si>
    <t>Leo Pankratz</t>
  </si>
  <si>
    <t>Shopping_45976</t>
  </si>
  <si>
    <t>General_Meeting_45979</t>
  </si>
  <si>
    <t>Assembly_45980</t>
  </si>
  <si>
    <t>Smoke,_Smoke,_&amp;_Smoke_45982</t>
  </si>
  <si>
    <t>Burrito_Project_45983</t>
  </si>
  <si>
    <t>General_Meeting_45986</t>
  </si>
  <si>
    <t>Distribution_45986</t>
  </si>
  <si>
    <t>Exemplification_45995</t>
  </si>
  <si>
    <t>General_Meeting_46005</t>
  </si>
  <si>
    <t>Parish_Dinner_46005</t>
  </si>
  <si>
    <t>Gravestone_Cleaning_@_Our_Mother_of_Sorrows_Cemetary_46006</t>
  </si>
  <si>
    <t>Organ_Building_46031</t>
  </si>
  <si>
    <t>Officer_Meeting_46044</t>
  </si>
  <si>
    <t>Coffee_&amp;_Donuts_46047</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</si>
</sst>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quot;#,##0.00"/>
    <numFmt numFmtId="165" formatCode="m/d/yyyy"/>
    <numFmt numFmtId="166" formatCode="mm/dd/yyyy"/>
    <numFmt numFmtId="167" formatCode="M/d/yyyy"/>
    <numFmt numFmtId="168" formatCode="yyyy-m"/>
    <numFmt numFmtId="169" formatCode="m/d/yyyy h:mm:ss"/>
    <numFmt numFmtId="170" formatCode="yyyy-mm"/>
  </numFmts>
  <fonts count="4">
    <font>
      <sz val="10.0"/>
      <color rgb="FF000000"/>
      <name val="Arial"/>
      <scheme val="minor"/>
    </font>
    <font>
      <b/>
      <color theme="1"/>
      <name val="Arial"/>
      <scheme val="minor"/>
    </font>
    <font>
      <color theme="1"/>
      <name val="Arial"/>
      <scheme val="minor"/>
    </font>
    <font>
      <b/>
      <sz val="20.0"/>
      <color theme="1"/>
      <name val="Arial"/>
      <scheme val="minor"/>
    </font>
  </fonts>
  <fills count="3">
    <fill>
      <patternFill patternType="none"/>
    </fill>
    <fill>
      <patternFill patternType="lightGray"/>
    </fill>
    <fill>
      <patternFill patternType="solid">
        <fgColor rgb="FFEA9999"/>
        <bgColor rgb="FFEA9999"/>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3" xfId="0" applyAlignment="1" applyFont="1" applyNumberFormat="1">
      <alignment readingOrder="0"/>
    </xf>
    <xf borderId="0" fillId="2" fontId="2" numFmtId="165" xfId="0" applyAlignment="1" applyFill="1" applyFont="1" applyNumberFormat="1">
      <alignment readingOrder="0"/>
    </xf>
    <xf borderId="0" fillId="0" fontId="2" numFmtId="165" xfId="0" applyAlignment="1" applyFont="1" applyNumberFormat="1">
      <alignment readingOrder="0"/>
    </xf>
    <xf borderId="0" fillId="0" fontId="2" numFmtId="0" xfId="0" applyAlignment="1" applyFont="1">
      <alignment readingOrder="0"/>
    </xf>
    <xf borderId="0" fillId="0" fontId="2" numFmtId="0" xfId="0" applyFont="1"/>
    <xf borderId="0" fillId="0" fontId="2" numFmtId="164" xfId="0" applyAlignment="1" applyFont="1" applyNumberFormat="1">
      <alignment readingOrder="0"/>
    </xf>
    <xf borderId="0" fillId="0" fontId="2" numFmtId="164" xfId="0" applyAlignment="1" applyFont="1" applyNumberFormat="1">
      <alignment readingOrder="0"/>
    </xf>
    <xf borderId="0" fillId="0" fontId="2" numFmtId="3" xfId="0" applyAlignment="1" applyFont="1" applyNumberFormat="1">
      <alignment readingOrder="0"/>
    </xf>
    <xf borderId="0" fillId="2" fontId="2" numFmtId="166" xfId="0" applyAlignment="1" applyFont="1" applyNumberFormat="1">
      <alignment readingOrder="0"/>
    </xf>
    <xf borderId="0" fillId="0" fontId="2" numFmtId="166" xfId="0" applyAlignment="1" applyFont="1" applyNumberFormat="1">
      <alignment readingOrder="0"/>
    </xf>
    <xf borderId="0" fillId="0" fontId="2" numFmtId="0" xfId="0" applyAlignment="1" applyFont="1">
      <alignment shrinkToFit="0" wrapText="1"/>
    </xf>
    <xf borderId="0" fillId="0" fontId="2" numFmtId="0" xfId="0" applyAlignment="1" applyFont="1">
      <alignment readingOrder="0" shrinkToFit="0" wrapText="1"/>
    </xf>
    <xf borderId="0" fillId="0" fontId="2" numFmtId="164" xfId="0" applyFont="1" applyNumberFormat="1"/>
    <xf borderId="0" fillId="0" fontId="2" numFmtId="3" xfId="0" applyFont="1" applyNumberFormat="1"/>
    <xf borderId="0" fillId="0" fontId="2" numFmtId="167" xfId="0" applyAlignment="1" applyFont="1" applyNumberFormat="1">
      <alignment readingOrder="0"/>
    </xf>
    <xf borderId="0" fillId="0" fontId="3" numFmtId="0" xfId="0" applyAlignment="1" applyFont="1">
      <alignment readingOrder="0"/>
    </xf>
    <xf borderId="0" fillId="0" fontId="1" numFmtId="0" xfId="0" applyFont="1"/>
    <xf borderId="0" fillId="0" fontId="2" numFmtId="167" xfId="0" applyFont="1" applyNumberFormat="1"/>
    <xf borderId="0" fillId="0" fontId="2" numFmtId="165" xfId="0" applyFont="1" applyNumberFormat="1"/>
    <xf borderId="0" fillId="0" fontId="2" numFmtId="14" xfId="0" applyFont="1" applyNumberFormat="1"/>
    <xf borderId="0" fillId="0" fontId="2" numFmtId="169" xfId="0" applyFont="1" applyNumberFormat="1"/>
    <xf borderId="0" fillId="0" fontId="2" numFmtId="14" xfId="0" applyAlignment="1" applyFont="1" applyNumberFormat="1">
      <alignment readingOrder="0"/>
    </xf>
    <xf borderId="0" fillId="0" fontId="2" numFmtId="0" xfId="0" applyAlignment="1" applyFont="1">
      <alignment readingOrder="0"/>
    </xf>
    <xf borderId="0" fillId="0" fontId="2" numFmtId="168" xfId="0" applyAlignment="1" applyFont="1" applyNumberFormat="1">
      <alignment readingOrder="0"/>
    </xf>
    <xf borderId="0" fillId="0" fontId="2" numFmtId="170" xfId="0" applyAlignment="1" applyFont="1" applyNumberFormat="1">
      <alignment readingOrder="0"/>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93C47D"/>
          <bgColor rgb="FF93C47D"/>
        </patternFill>
      </fill>
      <border/>
    </dxf>
    <dxf>
      <font/>
      <fill>
        <patternFill patternType="solid">
          <fgColor rgb="FFE06666"/>
          <bgColor rgb="FFE06666"/>
        </patternFill>
      </fill>
      <border/>
    </dxf>
    <dxf>
      <font/>
      <fill>
        <patternFill patternType="solid">
          <fgColor rgb="FF8E7CC3"/>
          <bgColor rgb="FF8E7CC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pivotCacheDefinition" Target="pivotCache/pivotCacheDefinition2.xml"/><Relationship Id="rId14"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Active Members per Month (AMPM)</a:t>
            </a:r>
          </a:p>
        </c:rich>
      </c:tx>
      <c:overlay val="0"/>
    </c:title>
    <c:plotArea>
      <c:layout/>
      <c:barChart>
        <c:barDir val="col"/>
        <c:ser>
          <c:idx val="0"/>
          <c:order val="0"/>
          <c:tx>
            <c:v>AMPM</c:v>
          </c:tx>
          <c:spPr>
            <a:solidFill>
              <a:srgbClr val="1B4587"/>
            </a:solidFill>
            <a:ln cmpd="sng">
              <a:solidFill>
                <a:srgbClr val="000000"/>
              </a:solidFill>
            </a:ln>
          </c:spPr>
          <c:cat>
            <c:strRef>
              <c:f>'AMPM Data'!$A$2:$A$13</c:f>
            </c:strRef>
          </c:cat>
          <c:val>
            <c:numRef>
              <c:f>'AMPM Data'!$B$2:$B$13</c:f>
              <c:numCache/>
            </c:numRef>
          </c:val>
        </c:ser>
        <c:axId val="307063544"/>
        <c:axId val="1014357596"/>
      </c:barChart>
      <c:lineChart>
        <c:varyColors val="0"/>
        <c:ser>
          <c:idx val="1"/>
          <c:order val="1"/>
          <c:tx>
            <c:v>Average AMPM</c:v>
          </c:tx>
          <c:spPr>
            <a:ln cmpd="sng">
              <a:solidFill>
                <a:srgbClr val="EA4335"/>
              </a:solidFill>
            </a:ln>
          </c:spPr>
          <c:marker>
            <c:symbol val="none"/>
          </c:marker>
          <c:cat>
            <c:strRef>
              <c:f>'AMPM Data'!$A$2:$A$13</c:f>
            </c:strRef>
          </c:cat>
          <c:val>
            <c:numRef>
              <c:f>'AMPM Data'!$D$2:$D$13</c:f>
              <c:numCache/>
            </c:numRef>
          </c:val>
          <c:smooth val="0"/>
        </c:ser>
        <c:axId val="307063544"/>
        <c:axId val="1014357596"/>
      </c:lineChart>
      <c:catAx>
        <c:axId val="3070635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4357596"/>
      </c:catAx>
      <c:valAx>
        <c:axId val="10143575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063544"/>
        <c:majorUnit val="1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New Members Activated Per Month</a:t>
            </a:r>
          </a:p>
        </c:rich>
      </c:tx>
      <c:overlay val="0"/>
    </c:title>
    <c:plotArea>
      <c:layout/>
      <c:lineChart>
        <c:ser>
          <c:idx val="0"/>
          <c:order val="0"/>
          <c:tx>
            <c:v>Members Activated</c:v>
          </c:tx>
          <c:spPr>
            <a:ln cmpd="sng">
              <a:solidFill>
                <a:srgbClr val="4285F4"/>
              </a:solidFill>
            </a:ln>
          </c:spPr>
          <c:marker>
            <c:symbol val="none"/>
          </c:marker>
          <c:cat>
            <c:strRef>
              <c:f>'AMPM Data'!$A$2:$A$1000</c:f>
            </c:strRef>
          </c:cat>
          <c:val>
            <c:numRef>
              <c:f>'AMPM Data'!$C$2:$C$1000</c:f>
              <c:numCache/>
            </c:numRef>
          </c:val>
          <c:smooth val="0"/>
        </c:ser>
        <c:ser>
          <c:idx val="1"/>
          <c:order val="1"/>
          <c:tx>
            <c:v>Average Members Activated</c:v>
          </c:tx>
          <c:spPr>
            <a:ln cmpd="sng">
              <a:solidFill>
                <a:srgbClr val="EA4335"/>
              </a:solidFill>
            </a:ln>
          </c:spPr>
          <c:marker>
            <c:symbol val="none"/>
          </c:marker>
          <c:cat>
            <c:strRef>
              <c:f>'AMPM Data'!$A$2:$A$1000</c:f>
            </c:strRef>
          </c:cat>
          <c:val>
            <c:numRef>
              <c:f>'AMPM Data'!$E$2:$E$1000</c:f>
              <c:numCache/>
            </c:numRef>
          </c:val>
          <c:smooth val="0"/>
        </c:ser>
        <c:axId val="487452340"/>
        <c:axId val="782446305"/>
      </c:lineChart>
      <c:catAx>
        <c:axId val="487452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2446305"/>
      </c:catAx>
      <c:valAx>
        <c:axId val="7824463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74523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Distribution of Recent Active Members vs Departure</a:t>
            </a:r>
          </a:p>
        </c:rich>
      </c:tx>
      <c:overlay val="0"/>
    </c:title>
    <c:plotArea>
      <c:layout/>
      <c:barChart>
        <c:barDir val="bar"/>
        <c:grouping val="percentStacked"/>
        <c:ser>
          <c:idx val="0"/>
          <c:order val="0"/>
          <c:tx>
            <c:strRef>
              <c:f>'Member Analysis (Auto)'!$B$1</c:f>
            </c:strRef>
          </c:tx>
          <c:spPr>
            <a:solidFill>
              <a:schemeClr val="accent1"/>
            </a:solidFill>
            <a:ln cmpd="sng">
              <a:solidFill>
                <a:srgbClr val="000000"/>
              </a:solidFill>
            </a:ln>
          </c:spPr>
          <c:cat>
            <c:strRef>
              <c:f>'Member Analysis (Auto)'!$A$2:$A$1000</c:f>
            </c:strRef>
          </c:cat>
          <c:val>
            <c:numRef>
              <c:f>'Member Analysis (Auto)'!$B$2:$B$1000</c:f>
              <c:numCache/>
            </c:numRef>
          </c:val>
        </c:ser>
        <c:ser>
          <c:idx val="1"/>
          <c:order val="1"/>
          <c:tx>
            <c:strRef>
              <c:f>'Member Analysis (Auto)'!$C$1</c:f>
            </c:strRef>
          </c:tx>
          <c:spPr>
            <a:solidFill>
              <a:schemeClr val="accent2"/>
            </a:solidFill>
            <a:ln cmpd="sng">
              <a:solidFill>
                <a:srgbClr val="000000"/>
              </a:solidFill>
            </a:ln>
          </c:spPr>
          <c:cat>
            <c:strRef>
              <c:f>'Member Analysis (Auto)'!$A$2:$A$1000</c:f>
            </c:strRef>
          </c:cat>
          <c:val>
            <c:numRef>
              <c:f>'Member Analysis (Auto)'!$C$2:$C$1000</c:f>
              <c:numCache/>
            </c:numRef>
          </c:val>
        </c:ser>
        <c:ser>
          <c:idx val="2"/>
          <c:order val="2"/>
          <c:tx>
            <c:strRef>
              <c:f>'Member Analysis (Auto)'!$D$1</c:f>
            </c:strRef>
          </c:tx>
          <c:spPr>
            <a:solidFill>
              <a:schemeClr val="accent3"/>
            </a:solidFill>
            <a:ln cmpd="sng">
              <a:solidFill>
                <a:srgbClr val="000000"/>
              </a:solidFill>
            </a:ln>
          </c:spPr>
          <c:cat>
            <c:strRef>
              <c:f>'Member Analysis (Auto)'!$A$2:$A$1000</c:f>
            </c:strRef>
          </c:cat>
          <c:val>
            <c:numRef>
              <c:f>'Member Analysis (Auto)'!$D$2:$D$1000</c:f>
              <c:numCache/>
            </c:numRef>
          </c:val>
        </c:ser>
        <c:ser>
          <c:idx val="3"/>
          <c:order val="3"/>
          <c:tx>
            <c:strRef>
              <c:f>'Member Analysis (Auto)'!$E$1</c:f>
            </c:strRef>
          </c:tx>
          <c:spPr>
            <a:solidFill>
              <a:schemeClr val="accent4"/>
            </a:solidFill>
            <a:ln cmpd="sng">
              <a:solidFill>
                <a:srgbClr val="000000"/>
              </a:solidFill>
            </a:ln>
          </c:spPr>
          <c:cat>
            <c:strRef>
              <c:f>'Member Analysis (Auto)'!$A$2:$A$1000</c:f>
            </c:strRef>
          </c:cat>
          <c:val>
            <c:numRef>
              <c:f>'Member Analysis (Auto)'!$E$2:$E$1000</c:f>
              <c:numCache/>
            </c:numRef>
          </c:val>
        </c:ser>
        <c:ser>
          <c:idx val="4"/>
          <c:order val="4"/>
          <c:tx>
            <c:strRef>
              <c:f>'Member Analysis (Auto)'!$F$1</c:f>
            </c:strRef>
          </c:tx>
          <c:spPr>
            <a:solidFill>
              <a:schemeClr val="accent5"/>
            </a:solidFill>
            <a:ln cmpd="sng">
              <a:solidFill>
                <a:srgbClr val="000000"/>
              </a:solidFill>
            </a:ln>
          </c:spPr>
          <c:cat>
            <c:strRef>
              <c:f>'Member Analysis (Auto)'!$A$2:$A$1000</c:f>
            </c:strRef>
          </c:cat>
          <c:val>
            <c:numRef>
              <c:f>'Member Analysis (Auto)'!$F$2:$F$1000</c:f>
              <c:numCache/>
            </c:numRef>
          </c:val>
        </c:ser>
        <c:ser>
          <c:idx val="5"/>
          <c:order val="5"/>
          <c:tx>
            <c:strRef>
              <c:f>'Master Roster'!$A$1</c:f>
            </c:strRef>
          </c:tx>
          <c:cat>
            <c:strRef>
              <c:f>'Member Analysis (Auto)'!$A$2:$A$1000</c:f>
            </c:strRef>
          </c:cat>
          <c:val>
            <c:numRef>
              <c:f>'Master Roster'!$A$2:$A$1000</c:f>
              <c:numCache/>
            </c:numRef>
          </c:val>
        </c:ser>
        <c:ser>
          <c:idx val="6"/>
          <c:order val="6"/>
          <c:tx>
            <c:strRef>
              <c:f>'Master Roster'!$B$1</c:f>
            </c:strRef>
          </c:tx>
          <c:cat>
            <c:strRef>
              <c:f>'Member Analysis (Auto)'!$A$2:$A$1000</c:f>
            </c:strRef>
          </c:cat>
          <c:val>
            <c:numRef>
              <c:f>'Master Roster'!$B$2:$B$1000</c:f>
              <c:numCache/>
            </c:numRef>
          </c:val>
        </c:ser>
        <c:ser>
          <c:idx val="7"/>
          <c:order val="7"/>
          <c:tx>
            <c:strRef>
              <c:f>'Master Roster'!$C$1</c:f>
            </c:strRef>
          </c:tx>
          <c:cat>
            <c:strRef>
              <c:f>'Member Analysis (Auto)'!$A$2:$A$1000</c:f>
            </c:strRef>
          </c:cat>
          <c:val>
            <c:numRef>
              <c:f>'Master Roster'!$C$2:$C$1000</c:f>
              <c:numCache/>
            </c:numRef>
          </c:val>
        </c:ser>
        <c:ser>
          <c:idx val="8"/>
          <c:order val="8"/>
          <c:tx>
            <c:strRef>
              <c:f>'Master Roster'!$D$1</c:f>
            </c:strRef>
          </c:tx>
          <c:cat>
            <c:strRef>
              <c:f>'Member Analysis (Auto)'!$A$2:$A$1000</c:f>
            </c:strRef>
          </c:cat>
          <c:val>
            <c:numRef>
              <c:f>'Master Roster'!$D$2:$D$1000</c:f>
              <c:numCache/>
            </c:numRef>
          </c:val>
        </c:ser>
        <c:ser>
          <c:idx val="9"/>
          <c:order val="9"/>
          <c:tx>
            <c:strRef>
              <c:f>'Master Roster'!$E$1</c:f>
            </c:strRef>
          </c:tx>
          <c:cat>
            <c:strRef>
              <c:f>'Member Analysis (Auto)'!$A$2:$A$1000</c:f>
            </c:strRef>
          </c:cat>
          <c:val>
            <c:numRef>
              <c:f>'Master Roster'!$E$2:$E$1000</c:f>
              <c:numCache/>
            </c:numRef>
          </c:val>
        </c:ser>
        <c:ser>
          <c:idx val="10"/>
          <c:order val="10"/>
          <c:tx>
            <c:strRef>
              <c:f>'Master Roster'!$F$1</c:f>
            </c:strRef>
          </c:tx>
          <c:cat>
            <c:strRef>
              <c:f>'Member Analysis (Auto)'!$A$2:$A$1000</c:f>
            </c:strRef>
          </c:cat>
          <c:val>
            <c:numRef>
              <c:f>'Master Roster'!$F$2:$F$1000</c:f>
              <c:numCache/>
            </c:numRef>
          </c:val>
        </c:ser>
        <c:ser>
          <c:idx val="11"/>
          <c:order val="11"/>
          <c:tx>
            <c:strRef>
              <c:f>'Master Roster'!$G$1</c:f>
            </c:strRef>
          </c:tx>
          <c:cat>
            <c:strRef>
              <c:f>'Member Analysis (Auto)'!$A$2:$A$1000</c:f>
            </c:strRef>
          </c:cat>
          <c:val>
            <c:numRef>
              <c:f>'Master Roster'!$G$2:$G$1000</c:f>
              <c:numCache/>
            </c:numRef>
          </c:val>
        </c:ser>
        <c:ser>
          <c:idx val="12"/>
          <c:order val="12"/>
          <c:tx>
            <c:strRef>
              <c:f>'Master Roster'!$J$1</c:f>
            </c:strRef>
          </c:tx>
          <c:cat>
            <c:strRef>
              <c:f>'Member Analysis (Auto)'!$A$2:$A$1000</c:f>
            </c:strRef>
          </c:cat>
          <c:val>
            <c:numRef>
              <c:f>'Master Roster'!$J$2:$J$1000</c:f>
              <c:numCache/>
            </c:numRef>
          </c:val>
        </c:ser>
        <c:overlap val="100"/>
        <c:axId val="1123614179"/>
        <c:axId val="532371758"/>
      </c:barChart>
      <c:catAx>
        <c:axId val="1123614179"/>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2371758"/>
      </c:catAx>
      <c:valAx>
        <c:axId val="53237175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36141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image" Target="../media/Chart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904875</xdr:colOff>
      <xdr:row>0</xdr:row>
      <xdr:rowOff>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17</xdr:row>
      <xdr:rowOff>133350</xdr:rowOff>
    </xdr:from>
    <xdr:ext cx="5715000" cy="3533775"/>
    <xdr:pic>
      <xdr:nvPicPr>
        <xdr:cNvPr id="1255331067"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1000" sheet="Master Roster"/>
  </cacheSource>
  <cacheFields>
    <cacheField name="Member_First_Name" numFmtId="0">
      <sharedItems containsBlank="1">
        <s v="James"/>
        <s v="Robb"/>
        <s v="Zhao"/>
        <s v="Dylan"/>
        <s v="Nick"/>
        <s v="PJ"/>
        <s v="Alex"/>
        <s v="Alvaro"/>
        <s v="Andrew"/>
        <s v="Boni"/>
        <s v="Don"/>
        <s v="Jack"/>
        <s v="Josh"/>
        <s v="Joe"/>
        <s v="Juan"/>
        <s v="Kevin"/>
        <s v="Leo"/>
        <s v="Matthew"/>
        <s v="Noah"/>
        <s v="Patrick"/>
        <s v="Ryan"/>
        <s v="Xavier"/>
        <s v="Tyler"/>
        <s v="Nathan"/>
        <s v="Matthias"/>
        <m/>
      </sharedItems>
    </cacheField>
    <cacheField name="Member_Last_Name" numFmtId="0">
      <sharedItems containsBlank="1">
        <s v="Gardner"/>
        <s v="Northrup"/>
        <s v="Yu"/>
        <s v="Bergsen"/>
        <s v="Eastwood"/>
        <s v="Duquette"/>
        <s v="Totter"/>
        <m/>
        <s v="Izzo"/>
        <s v="Jacinto"/>
        <s v="Cortez"/>
        <s v="McKinzie"/>
        <s v="Snow"/>
        <s v="Yarhi"/>
        <s v="Camacho-Marales"/>
        <s v="Malone"/>
        <s v="Pankratz"/>
        <s v="Combes"/>
        <s v="Backman-Dodge"/>
        <s v="Cendana"/>
        <s v="Cummings"/>
        <s v="Lockerby"/>
        <s v="Cholico"/>
        <s v="Soares"/>
        <s v="Loop"/>
      </sharedItems>
    </cacheField>
    <cacheField name="Member_Full_Name" numFmtId="0">
      <sharedItems>
        <s v="James Gardner"/>
        <s v="Robb Northrup"/>
        <s v="Zhao Yu"/>
        <s v="Dylan Bergsen"/>
        <s v="Nick Eastwood"/>
        <s v="PJ Duquette"/>
        <s v="Alex Totter"/>
        <s v="Alvaro"/>
        <s v="Andrew Izzo"/>
        <s v="Boni Jacinto"/>
        <s v="Don Cortez"/>
        <s v="Jack McKinzie"/>
        <s v="Josh Snow"/>
        <s v="Joe Yarhi"/>
        <s v="Juan Camacho-Marales"/>
        <s v="Kevin Malone"/>
        <s v="Leo Pankratz"/>
        <s v="Matthew Combes"/>
        <s v="Noah Backman-Dodge"/>
        <s v="Patrick Cendana"/>
        <s v="Patrick Cummings"/>
        <s v="Ryan Yarhi"/>
        <s v="Xavier Cortez"/>
        <s v="Matthew Lockerby"/>
        <s v="Tyler Cholico"/>
        <s v="Nathan Soares"/>
        <s v="Matthias Loop"/>
        <s v=""/>
      </sharedItems>
    </cacheField>
    <cacheField name="Member_ID" numFmtId="0">
      <sharedItems containsString="0" containsBlank="1">
        <m/>
      </sharedItems>
    </cacheField>
    <cacheField name="Phone" numFmtId="0">
      <sharedItems containsBlank="1">
        <m/>
        <s v="702-622-3005"/>
        <s v="937-626-4416"/>
      </sharedItems>
    </cacheField>
    <cacheField name="Join_Date" numFmtId="165">
      <sharedItems containsDate="1" containsString="0" containsBlank="1">
        <d v="2023-01-27T00:00:00Z"/>
        <d v="2024-08-11T00:00:00Z"/>
        <d v="2021-08-22T00:00:00Z"/>
        <d v="2024-08-18T00:00:00Z"/>
        <d v="2025-01-17T00:00:00Z"/>
        <d v="2023-09-23T00:00:00Z"/>
        <d v="2025-09-23T00:00:00Z"/>
        <m/>
      </sharedItems>
    </cacheField>
    <cacheField name="Expected_Departure" numFmtId="167">
      <sharedItems containsDate="1" containsString="0" containsBlank="1">
        <d v="2028-05-01T00:00:00Z"/>
        <d v="2026-05-01T00:00:00Z"/>
        <d v="2026-02-17T00:00:00Z"/>
        <d v="2027-05-01T00:00:00Z"/>
        <d v="2030-05-01T00:00:00Z"/>
        <d v="2026-07-01T00:00:00Z"/>
        <d v="2029-05-01T00:00:00Z"/>
        <m/>
      </sharedItems>
    </cacheField>
    <cacheField name="Email" numFmtId="0">
      <sharedItems containsBlank="1">
        <m/>
        <s v="RobbNorthrup@Outlook.com"/>
      </sharedItems>
    </cacheField>
    <cacheField name="Status" numFmtId="0">
      <sharedItems containsBlank="1">
        <s v="Current Member"/>
        <s v="Alumni"/>
        <m/>
      </sharedItems>
    </cacheField>
    <cacheField name="Attended Events Past 3 Months">
      <sharedItems containsMixedTypes="1" containsNumber="1" containsInteger="1">
        <n v="10.0"/>
        <n v="8.0"/>
        <n v="4.0"/>
        <n v="1.0"/>
        <n v="7.0"/>
        <n v="5.0"/>
        <n v="0.0"/>
        <n v="6.0"/>
        <n v="2.0"/>
        <s v=""/>
      </sharedItems>
    </cacheField>
    <cacheField name="Recently Active" numFmtId="0">
      <sharedItems>
        <s v="YES"/>
        <s v="ALUMNI"/>
        <s v="NO"/>
        <e v="#N/A"/>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Organ_Building_46031"/>
        <s v="Officer_Meeting_46044"/>
        <s v="Coffee_&amp;_Donuts_46047"/>
        <m/>
      </sharedItems>
    </cacheField>
    <cacheField name="Member" numFmtId="0">
      <sharedItems containsBlank="1">
        <s v="Zhao Yu"/>
        <s v="Ryan Yarhi"/>
        <s v="Don Cortez"/>
        <s v="Patrick Cendana"/>
        <s v="James Gardner"/>
        <s v="Dylan Bergsen"/>
        <s v="PJ Duquette"/>
        <s v="Alex Totter"/>
        <s v="Matthew Combes"/>
        <s v="Robb Northrup"/>
        <s v="Nick Eastwood"/>
        <s v="Joe Yarhi"/>
        <s v="Tyler Cholico"/>
        <s v="Leo Pankratz"/>
        <s v="Juan Camacho-Marales"/>
        <s v="Andrew Izzo"/>
        <s v="Matthias Loop"/>
        <s v="Kevin Malone"/>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6-01-09T00:00:00Z"/>
        <d v="2026-01-22T00:00:00Z"/>
        <d v="2026-01-25T00:00:00Z"/>
        <m/>
      </sharedItems>
    </cacheField>
    <cacheField name="Total_Event_Hours" numFmtId="0">
      <sharedItems containsString="0" containsBlank="1" containsNumber="1">
        <n v="1.25"/>
        <n v="1.75"/>
        <n v="3.25"/>
        <n v="32.0"/>
        <n v="4.5"/>
        <n v="2.25"/>
        <n v="2.5"/>
        <n v="2.75"/>
        <n v="4.25"/>
        <n v="0.75"/>
        <n v="6.0"/>
        <n v="21.0"/>
        <n v="3.75"/>
        <n v="2.0"/>
        <n v="4.75"/>
        <n v="1.5"/>
        <n v="3.0"/>
        <n v="0.25"/>
        <n v="1.0"/>
        <n v="7.0"/>
        <m/>
      </sharedItems>
    </cacheField>
    <cacheField name="Event_Type" numFmtId="0">
      <sharedItems containsBlank="1">
        <s v="V"/>
        <s v="Fi"/>
        <s v="M"/>
        <s v="Ft"/>
        <m/>
      </sharedItems>
    </cacheField>
    <cacheField name="Program" numFmtId="0">
      <sharedItems containsBlank="1">
        <s v="Misc"/>
        <s v="Walk for Life"/>
        <s v="Retreats"/>
        <s v="Moving Company"/>
        <s v="Meeting"/>
        <s v="COR"/>
        <s v="Fraternal"/>
        <s v="Burrito Project"/>
        <s v="Smoke, Smoke, &amp; Smoke"/>
        <s v="Feeding the Parish"/>
        <s v="Hike"/>
        <s v="Packets for the Homeless"/>
        <m/>
      </sharedItems>
    </cacheField>
    <cacheField name="First_Event_Date" numFmtId="14">
      <sharedItems containsDate="1" containsString="0" containsBlank="1">
        <d v="2024-10-22T00:00:00Z"/>
        <d v="2024-12-20T00:00:00Z"/>
        <d v="2025-01-15T00:00:00Z"/>
        <d v="2025-03-23T00:00:00Z"/>
        <d v="2025-05-16T00:00:00Z"/>
        <d v="2025-07-04T00:00:00Z"/>
        <d v="2025-07-31T00:00:00Z"/>
        <d v="2025-10-24T00:00:00Z"/>
        <d v="2025-11-13T00:00:00Z"/>
        <d v="2025-11-21T00:00:00Z"/>
        <d v="2025-11-25T00:00:00Z"/>
        <d v="2026-01-25T00:00:00Z"/>
        <m/>
      </sharedItems>
    </cacheField>
    <cacheField name="First_Event_Month" numFmtId="168">
      <sharedItems containsDate="1" containsString="0" containsBlank="1">
        <d v="2024-10-01T00:00:00Z"/>
        <d v="2024-12-01T00:00:00Z"/>
        <d v="2025-01-01T00:00:00Z"/>
        <d v="2025-03-01T00:00:00Z"/>
        <d v="2025-05-01T00:00:00Z"/>
        <d v="2025-07-01T00:00:00Z"/>
        <d v="2025-10-01T00:00:00Z"/>
        <d v="2025-11-01T00:00:00Z"/>
        <d v="2026-01-01T00:00:00Z"/>
        <m/>
      </sharedItems>
    </cacheField>
    <cacheField name="Activated" numFmtId="0">
      <sharedItems containsBlank="1">
        <b v="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MPM Dashboard" cacheId="0" dataCaption="" compact="0" compactData="0">
  <location ref="G21:I38" firstHeaderRow="0" firstDataRow="2" firstDataCol="0" rowPageCount="1" colPageCount="1"/>
  <pivotFields>
    <pivotField name="Member_Fir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Member_La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Member_Full_Name" axis="axisRow"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references>
            <reference field="4294967294">
              <x v="1"/>
            </reference>
          </references>
        </pivotArea>
      </autoSortScope>
    </pivotField>
    <pivotField name="Member_ID" compact="0" outline="0" multipleItemSelectionAllowed="1" showAll="0">
      <items>
        <item x="0"/>
        <item t="default"/>
      </items>
    </pivotField>
    <pivotField name="Phone" compact="0" outline="0" multipleItemSelectionAllowed="1" showAll="0">
      <items>
        <item x="0"/>
        <item x="1"/>
        <item x="2"/>
        <item t="default"/>
      </items>
    </pivotField>
    <pivotField name="Join_Date" compact="0" numFmtId="165" outline="0" multipleItemSelectionAllowed="1" showAll="0">
      <items>
        <item x="0"/>
        <item x="1"/>
        <item x="2"/>
        <item x="3"/>
        <item x="4"/>
        <item x="5"/>
        <item x="6"/>
        <item x="7"/>
        <item t="default"/>
      </items>
    </pivotField>
    <pivotField name="Expected_Departure" dataField="1" compact="0" numFmtId="167" outline="0" multipleItemSelectionAllowed="1" showAll="0">
      <items>
        <item x="0"/>
        <item x="1"/>
        <item x="2"/>
        <item x="3"/>
        <item x="4"/>
        <item x="5"/>
        <item x="6"/>
        <item x="7"/>
        <item t="default"/>
      </items>
    </pivotField>
    <pivotField name="Email" compact="0" outline="0" multipleItemSelectionAllowed="1" showAll="0">
      <items>
        <item x="0"/>
        <item x="1"/>
        <item t="default"/>
      </items>
    </pivotField>
    <pivotField name="Status" compact="0" outline="0" multipleItemSelectionAllowed="1" showAll="0">
      <items>
        <item x="0"/>
        <item x="1"/>
        <item x="2"/>
        <item t="default"/>
      </items>
    </pivotField>
    <pivotField name="Attended Events Past 3 Months" axis="axisPage" dataField="1" compact="0" outline="0" multipleItemSelectionAllowed="1" showAll="0">
      <items>
        <item h="1" x="0"/>
        <item h="1" x="1"/>
        <item h="1" x="2"/>
        <item x="3"/>
        <item h="1" x="4"/>
        <item h="1" x="5"/>
        <item x="6"/>
        <item h="1" x="7"/>
        <item h="1" x="8"/>
        <item h="1" x="9"/>
        <item t="default"/>
      </items>
    </pivotField>
    <pivotField name="Recently Active" compact="0" outline="0" multipleItemSelectionAllowed="1" showAll="0">
      <items>
        <item x="0"/>
        <item x="1"/>
        <item x="2"/>
        <item x="3"/>
        <item t="default"/>
      </items>
    </pivotField>
  </pivotFields>
  <rowFields>
    <field x="2"/>
  </rowFields>
  <colFields>
    <field x="-2"/>
  </colFields>
  <pageFields>
    <pageField fld="9"/>
  </pageFields>
  <dataFields>
    <dataField name="Events Attended" fld="9" baseField="0"/>
    <dataField name="Expected_Departure" fld="6"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38"/>
    <col customWidth="1" min="3" max="6" width="26.0"/>
    <col customWidth="1" min="7" max="8" width="28.25"/>
    <col customWidth="1" min="9" max="9" width="29.13"/>
    <col customWidth="1" min="10" max="11" width="32.88"/>
    <col customWidth="1" min="12" max="12" width="42.13"/>
    <col customWidth="1" min="13" max="13" width="16.13"/>
    <col customWidth="1" min="14" max="14" width="22.5"/>
    <col customWidth="1" min="15" max="23" width="22.13"/>
    <col customWidth="1" min="24" max="24" width="35.88"/>
    <col customWidth="1" min="25" max="25" width="38.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1" t="s">
        <v>19</v>
      </c>
      <c r="U1" s="3" t="s">
        <v>20</v>
      </c>
      <c r="V1" s="1" t="s">
        <v>21</v>
      </c>
      <c r="W1" s="3" t="s">
        <v>22</v>
      </c>
      <c r="X1" s="1" t="s">
        <v>23</v>
      </c>
      <c r="Y1" s="1" t="s">
        <v>24</v>
      </c>
    </row>
    <row r="2">
      <c r="A2" s="4">
        <v>45587.0</v>
      </c>
      <c r="B2" s="5">
        <v>45587.0</v>
      </c>
      <c r="C2" s="6" t="s">
        <v>25</v>
      </c>
      <c r="D2" s="6" t="str">
        <f t="shared" ref="D2:D1000" si="1">IF($C2 = "", "", CONCATENATE(SUBSTITUTE($C2, " ", "_"), "_", $A2))</f>
        <v>Piano_Moving_+_Assembling_45587</v>
      </c>
      <c r="E2" s="6" t="s">
        <v>26</v>
      </c>
      <c r="F2" s="6" t="s">
        <v>27</v>
      </c>
      <c r="G2" s="6" t="s">
        <v>28</v>
      </c>
      <c r="H2" s="6" t="str">
        <f>IFERROR(__xludf.DUMMYFUNCTION("IFERROR(TEXTJOIN("", "", TRUE, FILTER(SPLIT(G2, "",""), ISERROR(MATCH(TRIM(SPLIT(G2, "","")), 'Master Roster'!C:C, 0)))), ""NONE"")"),"NONE")</f>
        <v>NONE</v>
      </c>
      <c r="I2" s="6">
        <f>IFERROR(__xludf.DUMMYFUNCTION("IF($G2="""", 0, COUNTA(SPLIT($G2, "","")))"),2.0)</f>
        <v>2</v>
      </c>
      <c r="K2" s="7">
        <f t="shared" ref="K2:K1000" si="2">sum(I2, J2)</f>
        <v>2</v>
      </c>
      <c r="L2" s="6" t="s">
        <v>29</v>
      </c>
      <c r="M2" s="6">
        <v>1.25</v>
      </c>
      <c r="N2" s="7">
        <f t="shared" ref="N2:N1000" si="3">IF($L2="V", $M2*K2, 0)</f>
        <v>2.5</v>
      </c>
      <c r="O2" s="7">
        <f t="shared" ref="O2:O1000" si="4">IF($L2="Ft", $M2*K2, 0)</f>
        <v>0</v>
      </c>
      <c r="P2" s="7">
        <f t="shared" ref="P2:P1000" si="5">IF($L2="Fi", $M2*K2, 0)</f>
        <v>0</v>
      </c>
      <c r="Q2" s="7">
        <f t="shared" ref="Q2:Q266" si="6">IF($L2="M", $M2*K2, 0)</f>
        <v>0</v>
      </c>
      <c r="R2" s="8">
        <v>0.0</v>
      </c>
      <c r="S2" s="8">
        <v>0.0</v>
      </c>
      <c r="T2" s="9">
        <f t="shared" ref="T2:T708" si="7">(S2 - R2)</f>
        <v>0</v>
      </c>
      <c r="U2" s="10"/>
      <c r="V2" s="9"/>
      <c r="W2" s="10"/>
    </row>
    <row r="3">
      <c r="A3" s="4">
        <v>45646.0</v>
      </c>
      <c r="B3" s="5">
        <v>45646.0</v>
      </c>
      <c r="C3" s="6" t="s">
        <v>30</v>
      </c>
      <c r="D3" s="6" t="str">
        <f t="shared" si="1"/>
        <v>Christmas_Caroling_45646</v>
      </c>
      <c r="E3" s="6" t="s">
        <v>26</v>
      </c>
      <c r="F3" s="6" t="s">
        <v>27</v>
      </c>
      <c r="G3" s="6" t="s">
        <v>31</v>
      </c>
      <c r="H3" s="6" t="str">
        <f>IFERROR(__xludf.DUMMYFUNCTION("IFERROR(TEXTJOIN("", "", TRUE, FILTER(SPLIT(G3, "",""), ISERROR(MATCH(TRIM(SPLIT(G3, "","")), 'Master Roster'!C:C, 0)))), ""NONE"")"),"NONE")</f>
        <v>NONE</v>
      </c>
      <c r="I3" s="6">
        <f>IFERROR(__xludf.DUMMYFUNCTION("IF($G3="""", 0, COUNTA(SPLIT($G3, "","")))"),3.0)</f>
        <v>3</v>
      </c>
      <c r="K3" s="7">
        <f t="shared" si="2"/>
        <v>3</v>
      </c>
      <c r="L3" s="6" t="s">
        <v>29</v>
      </c>
      <c r="M3" s="6">
        <v>1.75</v>
      </c>
      <c r="N3" s="7">
        <f t="shared" si="3"/>
        <v>5.25</v>
      </c>
      <c r="O3" s="7">
        <f t="shared" si="4"/>
        <v>0</v>
      </c>
      <c r="P3" s="7">
        <f t="shared" si="5"/>
        <v>0</v>
      </c>
      <c r="Q3" s="7">
        <f t="shared" si="6"/>
        <v>0</v>
      </c>
      <c r="R3" s="8">
        <v>0.0</v>
      </c>
      <c r="S3" s="8">
        <v>0.0</v>
      </c>
      <c r="T3" s="9">
        <f t="shared" si="7"/>
        <v>0</v>
      </c>
      <c r="U3" s="10"/>
      <c r="V3" s="9"/>
      <c r="W3" s="10"/>
    </row>
    <row r="4">
      <c r="A4" s="11">
        <v>45672.0</v>
      </c>
      <c r="B4" s="12">
        <v>45672.0</v>
      </c>
      <c r="C4" s="6" t="s">
        <v>32</v>
      </c>
      <c r="D4" s="6" t="str">
        <f t="shared" si="1"/>
        <v>Walk_for_Life_45672</v>
      </c>
      <c r="E4" s="6" t="s">
        <v>32</v>
      </c>
      <c r="F4" s="6" t="s">
        <v>33</v>
      </c>
      <c r="G4" s="6" t="s">
        <v>34</v>
      </c>
      <c r="H4" s="6" t="str">
        <f>IFERROR(__xludf.DUMMYFUNCTION("IFERROR(TEXTJOIN("", "", TRUE, FILTER(SPLIT(G4, "",""), ISERROR(MATCH(TRIM(SPLIT(G4, "","")), 'Master Roster'!C:C, 0)))), ""NONE"")"),"NONE")</f>
        <v>NONE</v>
      </c>
      <c r="I4" s="6">
        <f>IFERROR(__xludf.DUMMYFUNCTION("IF($G4="""", 0, COUNTA(SPLIT($G4, "","")))"),3.0)</f>
        <v>3</v>
      </c>
      <c r="J4" s="6">
        <v>1.0</v>
      </c>
      <c r="K4" s="7">
        <f t="shared" si="2"/>
        <v>4</v>
      </c>
      <c r="L4" s="6" t="s">
        <v>29</v>
      </c>
      <c r="M4" s="6">
        <v>3.25</v>
      </c>
      <c r="N4" s="7">
        <f t="shared" si="3"/>
        <v>13</v>
      </c>
      <c r="O4" s="7">
        <f t="shared" si="4"/>
        <v>0</v>
      </c>
      <c r="P4" s="7">
        <f t="shared" si="5"/>
        <v>0</v>
      </c>
      <c r="Q4" s="7">
        <f t="shared" si="6"/>
        <v>0</v>
      </c>
      <c r="R4" s="8">
        <v>0.0</v>
      </c>
      <c r="S4" s="8">
        <v>0.0</v>
      </c>
      <c r="T4" s="9">
        <f t="shared" si="7"/>
        <v>0</v>
      </c>
      <c r="U4" s="10"/>
      <c r="V4" s="9"/>
      <c r="W4" s="10"/>
    </row>
    <row r="5" ht="31.5" customHeight="1">
      <c r="A5" s="11">
        <v>45737.0</v>
      </c>
      <c r="B5" s="12">
        <v>45739.0</v>
      </c>
      <c r="C5" s="6" t="s">
        <v>35</v>
      </c>
      <c r="D5" s="6" t="str">
        <f t="shared" si="1"/>
        <v>Silent_Retreat_on_Sacred_Heart_45737</v>
      </c>
      <c r="E5" s="6" t="s">
        <v>36</v>
      </c>
      <c r="F5" s="6" t="s">
        <v>37</v>
      </c>
      <c r="G5" s="6" t="s">
        <v>38</v>
      </c>
      <c r="H5" s="6" t="str">
        <f>IFERROR(__xludf.DUMMYFUNCTION("IFERROR(TEXTJOIN("", "", TRUE, FILTER(SPLIT(G5, "",""), ISERROR(MATCH(TRIM(SPLIT(G5, "","")), 'Master Roster'!C:C, 0)))), ""NONE"")"),"NONE")</f>
        <v>NONE</v>
      </c>
      <c r="I5" s="6">
        <f>IFERROR(__xludf.DUMMYFUNCTION("IF($G5="""", 0, COUNTA(SPLIT($G5, "","")))"),6.0)</f>
        <v>6</v>
      </c>
      <c r="J5" s="6">
        <v>1.0</v>
      </c>
      <c r="K5" s="7">
        <f t="shared" si="2"/>
        <v>7</v>
      </c>
      <c r="L5" s="6" t="s">
        <v>39</v>
      </c>
      <c r="M5" s="6">
        <v>32.0</v>
      </c>
      <c r="N5" s="7">
        <f t="shared" si="3"/>
        <v>0</v>
      </c>
      <c r="O5" s="7">
        <f t="shared" si="4"/>
        <v>0</v>
      </c>
      <c r="P5" s="7">
        <f t="shared" si="5"/>
        <v>224</v>
      </c>
      <c r="Q5" s="7">
        <f t="shared" si="6"/>
        <v>0</v>
      </c>
      <c r="R5" s="8">
        <v>600.0</v>
      </c>
      <c r="S5" s="8">
        <v>0.0</v>
      </c>
      <c r="T5" s="9">
        <f t="shared" si="7"/>
        <v>-600</v>
      </c>
      <c r="U5" s="10"/>
      <c r="V5" s="9"/>
      <c r="W5" s="10"/>
      <c r="X5" s="13"/>
      <c r="Y5" s="13"/>
    </row>
    <row r="6" ht="31.5" customHeight="1">
      <c r="A6" s="12">
        <v>45793.0</v>
      </c>
      <c r="B6" s="12">
        <v>45793.0</v>
      </c>
      <c r="C6" s="6" t="s">
        <v>40</v>
      </c>
      <c r="D6" s="6" t="str">
        <f t="shared" si="1"/>
        <v>Lupe_Move_45793</v>
      </c>
      <c r="E6" s="6" t="s">
        <v>41</v>
      </c>
      <c r="F6" s="6" t="s">
        <v>42</v>
      </c>
      <c r="G6" s="6" t="s">
        <v>43</v>
      </c>
      <c r="H6" s="6" t="str">
        <f>IFERROR(__xludf.DUMMYFUNCTION("IFERROR(TEXTJOIN("", "", TRUE, FILTER(SPLIT(G6, "",""), ISERROR(MATCH(TRIM(SPLIT(G6, "","")), 'Master Roster'!C:C, 0)))), ""NONE"")"),"NONE")</f>
        <v>NONE</v>
      </c>
      <c r="I6" s="6">
        <f>IFERROR(__xludf.DUMMYFUNCTION("IF($G6="""", 0, COUNTA(SPLIT($G6, "","")))"),5.0)</f>
        <v>5</v>
      </c>
      <c r="J6" s="6">
        <v>0.0</v>
      </c>
      <c r="K6" s="7">
        <f t="shared" si="2"/>
        <v>5</v>
      </c>
      <c r="L6" s="6" t="s">
        <v>29</v>
      </c>
      <c r="M6" s="6">
        <v>4.5</v>
      </c>
      <c r="N6" s="7">
        <f t="shared" si="3"/>
        <v>22.5</v>
      </c>
      <c r="O6" s="7">
        <f t="shared" si="4"/>
        <v>0</v>
      </c>
      <c r="P6" s="7">
        <f t="shared" si="5"/>
        <v>0</v>
      </c>
      <c r="Q6" s="7">
        <f t="shared" si="6"/>
        <v>0</v>
      </c>
      <c r="R6" s="8">
        <v>0.0</v>
      </c>
      <c r="S6" s="8">
        <v>60.0</v>
      </c>
      <c r="T6" s="9">
        <f t="shared" si="7"/>
        <v>60</v>
      </c>
      <c r="U6" s="10"/>
      <c r="V6" s="9"/>
      <c r="W6" s="10">
        <v>1.0</v>
      </c>
      <c r="X6" s="13"/>
      <c r="Y6" s="13"/>
    </row>
    <row r="7" ht="31.5" customHeight="1">
      <c r="A7" s="12">
        <v>45799.0</v>
      </c>
      <c r="B7" s="12">
        <v>45799.0</v>
      </c>
      <c r="C7" s="6" t="s">
        <v>44</v>
      </c>
      <c r="D7" s="6" t="str">
        <f t="shared" si="1"/>
        <v>Robert_Move_45799</v>
      </c>
      <c r="E7" s="6" t="s">
        <v>41</v>
      </c>
      <c r="F7" s="6" t="s">
        <v>27</v>
      </c>
      <c r="G7" s="6" t="s">
        <v>45</v>
      </c>
      <c r="H7" s="6" t="str">
        <f>IFERROR(__xludf.DUMMYFUNCTION("IFERROR(TEXTJOIN("", "", TRUE, FILTER(SPLIT(G7, "",""), ISERROR(MATCH(TRIM(SPLIT(G7, "","")), 'Master Roster'!C:C, 0)))), ""NONE"")"),"NONE")</f>
        <v>NONE</v>
      </c>
      <c r="I7" s="6">
        <v>3.0</v>
      </c>
      <c r="J7" s="6">
        <v>0.0</v>
      </c>
      <c r="K7" s="7">
        <f t="shared" si="2"/>
        <v>3</v>
      </c>
      <c r="L7" s="6" t="s">
        <v>29</v>
      </c>
      <c r="M7" s="6">
        <v>2.25</v>
      </c>
      <c r="N7" s="7">
        <f t="shared" si="3"/>
        <v>6.75</v>
      </c>
      <c r="O7" s="7">
        <f t="shared" si="4"/>
        <v>0</v>
      </c>
      <c r="P7" s="7">
        <f t="shared" si="5"/>
        <v>0</v>
      </c>
      <c r="Q7" s="7">
        <f t="shared" si="6"/>
        <v>0</v>
      </c>
      <c r="R7" s="8">
        <v>0.0</v>
      </c>
      <c r="S7" s="8">
        <v>0.0</v>
      </c>
      <c r="T7" s="9">
        <f t="shared" si="7"/>
        <v>0</v>
      </c>
      <c r="U7" s="10"/>
      <c r="V7" s="9"/>
      <c r="W7" s="10"/>
      <c r="X7" s="13"/>
      <c r="Y7" s="13"/>
    </row>
    <row r="8" ht="31.5" customHeight="1">
      <c r="A8" s="12">
        <v>45842.0</v>
      </c>
      <c r="B8" s="12">
        <v>45842.0</v>
      </c>
      <c r="C8" s="6" t="s">
        <v>46</v>
      </c>
      <c r="D8" s="6" t="str">
        <f t="shared" si="1"/>
        <v>Officer_Meeting_45842</v>
      </c>
      <c r="E8" s="6" t="s">
        <v>47</v>
      </c>
      <c r="F8" s="6" t="s">
        <v>48</v>
      </c>
      <c r="G8" s="6" t="s">
        <v>49</v>
      </c>
      <c r="H8" s="6" t="str">
        <f>IFERROR(__xludf.DUMMYFUNCTION("IFERROR(TEXTJOIN("", "", TRUE, FILTER(SPLIT(G8, "",""), ISERROR(MATCH(TRIM(SPLIT(G8, "","")), 'Master Roster'!C:C, 0)))), ""NONE"")"),"NONE")</f>
        <v>NONE</v>
      </c>
      <c r="I8" s="6">
        <f>IFERROR(__xludf.DUMMYFUNCTION("IF($G8="""", 0, COUNTA(SPLIT($G8, "","")))"),6.0)</f>
        <v>6</v>
      </c>
      <c r="K8" s="7">
        <f t="shared" si="2"/>
        <v>6</v>
      </c>
      <c r="L8" s="6" t="s">
        <v>50</v>
      </c>
      <c r="M8" s="6">
        <v>2.5</v>
      </c>
      <c r="N8" s="7">
        <f t="shared" si="3"/>
        <v>0</v>
      </c>
      <c r="O8" s="7">
        <f t="shared" si="4"/>
        <v>0</v>
      </c>
      <c r="P8" s="7">
        <f t="shared" si="5"/>
        <v>0</v>
      </c>
      <c r="Q8" s="7">
        <f t="shared" si="6"/>
        <v>15</v>
      </c>
      <c r="R8" s="8">
        <v>0.0</v>
      </c>
      <c r="S8" s="8">
        <v>0.0</v>
      </c>
      <c r="T8" s="9">
        <f t="shared" si="7"/>
        <v>0</v>
      </c>
      <c r="U8" s="10"/>
      <c r="V8" s="9"/>
      <c r="W8" s="10"/>
      <c r="X8" s="13"/>
      <c r="Y8" s="13"/>
    </row>
    <row r="9" ht="31.5" customHeight="1">
      <c r="A9" s="11">
        <v>45865.0</v>
      </c>
      <c r="B9" s="12">
        <v>45865.0</v>
      </c>
      <c r="C9" s="6" t="s">
        <v>51</v>
      </c>
      <c r="D9" s="6" t="str">
        <f t="shared" si="1"/>
        <v>Flood_Cleaning_45865</v>
      </c>
      <c r="E9" s="6" t="s">
        <v>26</v>
      </c>
      <c r="F9" s="6" t="s">
        <v>48</v>
      </c>
      <c r="G9" s="6" t="s">
        <v>52</v>
      </c>
      <c r="H9" s="6" t="str">
        <f>IFERROR(__xludf.DUMMYFUNCTION("IFERROR(TEXTJOIN("", "", TRUE, FILTER(SPLIT(G9, "",""), ISERROR(MATCH(TRIM(SPLIT(G9, "","")), 'Master Roster'!C:C, 0)))), ""NONE"")"),"NONE")</f>
        <v>NONE</v>
      </c>
      <c r="I9" s="6">
        <f>IFERROR(__xludf.DUMMYFUNCTION("IF($G9="""", 0, COUNTA(SPLIT($G9, "","")))"),4.0)</f>
        <v>4</v>
      </c>
      <c r="K9" s="7">
        <f t="shared" si="2"/>
        <v>4</v>
      </c>
      <c r="L9" s="6" t="s">
        <v>29</v>
      </c>
      <c r="M9" s="6">
        <v>2.75</v>
      </c>
      <c r="N9" s="7">
        <f t="shared" si="3"/>
        <v>11</v>
      </c>
      <c r="O9" s="7">
        <f t="shared" si="4"/>
        <v>0</v>
      </c>
      <c r="P9" s="7">
        <f t="shared" si="5"/>
        <v>0</v>
      </c>
      <c r="Q9" s="7">
        <f t="shared" si="6"/>
        <v>0</v>
      </c>
      <c r="R9" s="8">
        <v>0.0</v>
      </c>
      <c r="S9" s="8">
        <v>0.0</v>
      </c>
      <c r="T9" s="9">
        <f t="shared" si="7"/>
        <v>0</v>
      </c>
      <c r="U9" s="10"/>
      <c r="V9" s="9"/>
      <c r="W9" s="10"/>
      <c r="X9" s="13"/>
      <c r="Y9" s="13"/>
    </row>
    <row r="10" ht="31.5" customHeight="1">
      <c r="A10" s="12">
        <v>45869.0</v>
      </c>
      <c r="B10" s="12">
        <v>45869.0</v>
      </c>
      <c r="C10" s="6" t="s">
        <v>53</v>
      </c>
      <c r="D10" s="6" t="str">
        <f t="shared" si="1"/>
        <v>Alia_Move_45869</v>
      </c>
      <c r="E10" s="6" t="s">
        <v>41</v>
      </c>
      <c r="F10" s="6" t="s">
        <v>42</v>
      </c>
      <c r="G10" s="6" t="s">
        <v>54</v>
      </c>
      <c r="H10" s="6" t="str">
        <f>IFERROR(__xludf.DUMMYFUNCTION("IFERROR(TEXTJOIN("", "", TRUE, FILTER(SPLIT(G10, "",""), ISERROR(MATCH(TRIM(SPLIT(G10, "","")), 'Master Roster'!C:C, 0)))), ""NONE"")"),"NONE")</f>
        <v>NONE</v>
      </c>
      <c r="I10" s="6">
        <f>IFERROR(__xludf.DUMMYFUNCTION("IF($G10="""", 0, COUNTA(SPLIT($G10, "","")))"),4.0)</f>
        <v>4</v>
      </c>
      <c r="J10" s="6">
        <v>2.0</v>
      </c>
      <c r="K10" s="7">
        <f t="shared" si="2"/>
        <v>6</v>
      </c>
      <c r="L10" s="6" t="s">
        <v>29</v>
      </c>
      <c r="M10" s="6">
        <v>4.25</v>
      </c>
      <c r="N10" s="7">
        <f t="shared" si="3"/>
        <v>25.5</v>
      </c>
      <c r="O10" s="7">
        <f t="shared" si="4"/>
        <v>0</v>
      </c>
      <c r="P10" s="7">
        <f t="shared" si="5"/>
        <v>0</v>
      </c>
      <c r="Q10" s="7">
        <f t="shared" si="6"/>
        <v>0</v>
      </c>
      <c r="R10" s="8">
        <v>0.0</v>
      </c>
      <c r="S10" s="8">
        <v>0.0</v>
      </c>
      <c r="T10" s="9">
        <f t="shared" si="7"/>
        <v>0</v>
      </c>
      <c r="U10" s="10"/>
      <c r="V10" s="9"/>
      <c r="W10" s="10"/>
      <c r="X10" s="13"/>
      <c r="Y10" s="13"/>
    </row>
    <row r="11" ht="31.5" customHeight="1">
      <c r="A11" s="12">
        <v>45890.0</v>
      </c>
      <c r="B11" s="12">
        <v>45890.0</v>
      </c>
      <c r="C11" s="6" t="s">
        <v>46</v>
      </c>
      <c r="D11" s="6" t="str">
        <f t="shared" si="1"/>
        <v>Officer_Meeting_45890</v>
      </c>
      <c r="E11" s="6" t="s">
        <v>47</v>
      </c>
      <c r="F11" s="6" t="s">
        <v>48</v>
      </c>
      <c r="G11" s="6" t="s">
        <v>55</v>
      </c>
      <c r="H11" s="6" t="str">
        <f>IFERROR(__xludf.DUMMYFUNCTION("IFERROR(TEXTJOIN("", "", TRUE, FILTER(SPLIT(G11, "",""), ISERROR(MATCH(TRIM(SPLIT(G11, "","")), 'Master Roster'!C:C, 0)))), ""NONE"")"),"NONE")</f>
        <v>NONE</v>
      </c>
      <c r="I11" s="6">
        <f>IFERROR(__xludf.DUMMYFUNCTION("IF($G11="""", 0, COUNTA(SPLIT($G11, "","")))"),4.0)</f>
        <v>4</v>
      </c>
      <c r="K11" s="7">
        <f t="shared" si="2"/>
        <v>4</v>
      </c>
      <c r="L11" s="6" t="s">
        <v>50</v>
      </c>
      <c r="M11" s="6">
        <v>0.75</v>
      </c>
      <c r="N11" s="7">
        <f t="shared" si="3"/>
        <v>0</v>
      </c>
      <c r="O11" s="7">
        <f t="shared" si="4"/>
        <v>0</v>
      </c>
      <c r="P11" s="7">
        <f t="shared" si="5"/>
        <v>0</v>
      </c>
      <c r="Q11" s="7">
        <f t="shared" si="6"/>
        <v>3</v>
      </c>
      <c r="R11" s="8">
        <v>0.0</v>
      </c>
      <c r="S11" s="8">
        <v>0.0</v>
      </c>
      <c r="T11" s="9">
        <f t="shared" si="7"/>
        <v>0</v>
      </c>
      <c r="U11" s="10"/>
      <c r="V11" s="9"/>
      <c r="W11" s="10"/>
      <c r="X11" s="13"/>
      <c r="Y11" s="13"/>
    </row>
    <row r="12" ht="31.5" customHeight="1">
      <c r="A12" s="12">
        <v>45906.0</v>
      </c>
      <c r="B12" s="12">
        <v>45906.0</v>
      </c>
      <c r="C12" s="6" t="s">
        <v>56</v>
      </c>
      <c r="D12" s="6" t="str">
        <f t="shared" si="1"/>
        <v>Great_Reno_Balloon_Race_45906</v>
      </c>
      <c r="E12" s="6" t="s">
        <v>26</v>
      </c>
      <c r="F12" s="6" t="s">
        <v>48</v>
      </c>
      <c r="G12" s="6" t="s">
        <v>42</v>
      </c>
      <c r="H12" s="6" t="str">
        <f>IFERROR(__xludf.DUMMYFUNCTION("IFERROR(TEXTJOIN("", "", TRUE, FILTER(SPLIT(G12, "",""), ISERROR(MATCH(TRIM(SPLIT(G12, "","")), 'Master Roster'!C:C, 0)))), ""NONE"")"),"NONE")</f>
        <v>NONE</v>
      </c>
      <c r="I12" s="6">
        <f>IFERROR(__xludf.DUMMYFUNCTION("IF($G12="""", 0, COUNTA(SPLIT($G12, "","")))"),1.0)</f>
        <v>1</v>
      </c>
      <c r="J12" s="6">
        <v>0.0</v>
      </c>
      <c r="K12" s="7">
        <f t="shared" si="2"/>
        <v>1</v>
      </c>
      <c r="L12" s="6" t="s">
        <v>29</v>
      </c>
      <c r="M12" s="6">
        <v>6.0</v>
      </c>
      <c r="N12" s="7">
        <f t="shared" si="3"/>
        <v>6</v>
      </c>
      <c r="O12" s="7">
        <f t="shared" si="4"/>
        <v>0</v>
      </c>
      <c r="P12" s="7">
        <f t="shared" si="5"/>
        <v>0</v>
      </c>
      <c r="Q12" s="7">
        <f t="shared" si="6"/>
        <v>0</v>
      </c>
      <c r="R12" s="8">
        <v>0.0</v>
      </c>
      <c r="S12" s="8">
        <v>70.0</v>
      </c>
      <c r="T12" s="9">
        <f t="shared" si="7"/>
        <v>70</v>
      </c>
      <c r="U12" s="10"/>
      <c r="V12" s="9"/>
      <c r="W12" s="10"/>
      <c r="X12" s="14" t="s">
        <v>57</v>
      </c>
      <c r="Y12" s="14" t="s">
        <v>58</v>
      </c>
    </row>
    <row r="13" ht="31.5" customHeight="1">
      <c r="A13" s="12">
        <v>45917.0</v>
      </c>
      <c r="B13" s="12">
        <v>45917.0</v>
      </c>
      <c r="C13" s="6" t="s">
        <v>59</v>
      </c>
      <c r="D13" s="6" t="str">
        <f t="shared" si="1"/>
        <v>Taco_Cooking_with_Our_Lady_of_Snows_45917</v>
      </c>
      <c r="E13" s="6" t="s">
        <v>26</v>
      </c>
      <c r="F13" s="6" t="s">
        <v>48</v>
      </c>
      <c r="G13" s="6" t="s">
        <v>60</v>
      </c>
      <c r="H13" s="6" t="str">
        <f>IFERROR(__xludf.DUMMYFUNCTION("IFERROR(TEXTJOIN("", "", TRUE, FILTER(SPLIT(G13, "",""), ISERROR(MATCH(TRIM(SPLIT(G13, "","")), 'Master Roster'!C:C, 0)))), ""NONE"")"),"NONE")</f>
        <v>NONE</v>
      </c>
      <c r="I13" s="6">
        <f>IFERROR(__xludf.DUMMYFUNCTION("IF($G13="""", 0, COUNTA(SPLIT($G13, "","")))"),4.0)</f>
        <v>4</v>
      </c>
      <c r="J13" s="6">
        <v>0.0</v>
      </c>
      <c r="K13" s="7">
        <f t="shared" si="2"/>
        <v>4</v>
      </c>
      <c r="L13" s="6" t="s">
        <v>29</v>
      </c>
      <c r="M13" s="6">
        <v>2.5</v>
      </c>
      <c r="N13" s="7">
        <f t="shared" si="3"/>
        <v>10</v>
      </c>
      <c r="O13" s="7">
        <f t="shared" si="4"/>
        <v>0</v>
      </c>
      <c r="P13" s="7">
        <f t="shared" si="5"/>
        <v>0</v>
      </c>
      <c r="Q13" s="7">
        <f t="shared" si="6"/>
        <v>0</v>
      </c>
      <c r="R13" s="8">
        <v>0.0</v>
      </c>
      <c r="S13" s="8">
        <v>0.0</v>
      </c>
      <c r="T13" s="9">
        <f t="shared" si="7"/>
        <v>0</v>
      </c>
      <c r="U13" s="10"/>
      <c r="V13" s="9"/>
      <c r="W13" s="10">
        <v>54.0</v>
      </c>
      <c r="X13" s="13"/>
      <c r="Y13" s="13"/>
    </row>
    <row r="14" ht="31.5" customHeight="1">
      <c r="A14" s="12">
        <v>45926.0</v>
      </c>
      <c r="B14" s="12">
        <v>45928.0</v>
      </c>
      <c r="C14" s="6" t="s">
        <v>61</v>
      </c>
      <c r="D14" s="6" t="str">
        <f t="shared" si="1"/>
        <v>College_Council_Conference_2025_45926</v>
      </c>
      <c r="E14" s="6" t="s">
        <v>26</v>
      </c>
      <c r="F14" s="6" t="s">
        <v>33</v>
      </c>
      <c r="G14" s="6" t="s">
        <v>62</v>
      </c>
      <c r="H14" s="6" t="str">
        <f>IFERROR(__xludf.DUMMYFUNCTION("IFERROR(TEXTJOIN("", "", TRUE, FILTER(SPLIT(G14, "",""), ISERROR(MATCH(TRIM(SPLIT(G14, "","")), 'Master Roster'!C:C, 0)))), ""NONE"")"),"NONE")</f>
        <v>NONE</v>
      </c>
      <c r="I14" s="6">
        <f>IFERROR(__xludf.DUMMYFUNCTION("IF($G14="""", 0, COUNTA(SPLIT($G14, "","")))"),2.0)</f>
        <v>2</v>
      </c>
      <c r="J14" s="6">
        <v>0.0</v>
      </c>
      <c r="K14" s="7">
        <f t="shared" si="2"/>
        <v>2</v>
      </c>
      <c r="L14" s="6" t="s">
        <v>63</v>
      </c>
      <c r="M14" s="6">
        <v>21.0</v>
      </c>
      <c r="N14" s="7">
        <f t="shared" si="3"/>
        <v>0</v>
      </c>
      <c r="O14" s="7">
        <f t="shared" si="4"/>
        <v>42</v>
      </c>
      <c r="P14" s="7">
        <f t="shared" si="5"/>
        <v>0</v>
      </c>
      <c r="Q14" s="7">
        <f t="shared" si="6"/>
        <v>0</v>
      </c>
      <c r="R14" s="8">
        <v>0.0</v>
      </c>
      <c r="S14" s="8">
        <v>0.0</v>
      </c>
      <c r="T14" s="9">
        <f t="shared" si="7"/>
        <v>0</v>
      </c>
      <c r="U14" s="10"/>
      <c r="V14" s="9"/>
      <c r="W14" s="10"/>
      <c r="X14" s="14" t="s">
        <v>64</v>
      </c>
      <c r="Y14" s="14" t="s">
        <v>65</v>
      </c>
    </row>
    <row r="15" ht="31.5" customHeight="1">
      <c r="A15" s="5">
        <v>45929.0</v>
      </c>
      <c r="B15" s="5">
        <v>45929.0</v>
      </c>
      <c r="C15" s="6" t="s">
        <v>66</v>
      </c>
      <c r="D15" s="6" t="str">
        <f t="shared" si="1"/>
        <v>Alia_and_Lupe_Move_45929</v>
      </c>
      <c r="E15" s="6" t="s">
        <v>41</v>
      </c>
      <c r="F15" s="6" t="s">
        <v>42</v>
      </c>
      <c r="G15" s="6" t="s">
        <v>67</v>
      </c>
      <c r="H15" s="6" t="str">
        <f>IFERROR(__xludf.DUMMYFUNCTION("IFERROR(TEXTJOIN("", "", TRUE, FILTER(SPLIT(G15, "",""), ISERROR(MATCH(TRIM(SPLIT(G15, "","")), 'Master Roster'!C:C, 0)))), ""NONE"")"),"NONE")</f>
        <v>NONE</v>
      </c>
      <c r="I15" s="6">
        <f>IFERROR(__xludf.DUMMYFUNCTION("IF($G15="""", 0, COUNTA(SPLIT($G15, "","")))"),2.0)</f>
        <v>2</v>
      </c>
      <c r="J15" s="6">
        <v>0.0</v>
      </c>
      <c r="K15" s="7">
        <f t="shared" si="2"/>
        <v>2</v>
      </c>
      <c r="L15" s="6" t="s">
        <v>29</v>
      </c>
      <c r="M15" s="6">
        <v>6.0</v>
      </c>
      <c r="N15" s="7">
        <f t="shared" si="3"/>
        <v>12</v>
      </c>
      <c r="O15" s="7">
        <f t="shared" si="4"/>
        <v>0</v>
      </c>
      <c r="P15" s="7">
        <f t="shared" si="5"/>
        <v>0</v>
      </c>
      <c r="Q15" s="7">
        <f t="shared" si="6"/>
        <v>0</v>
      </c>
      <c r="R15" s="8">
        <v>0.0</v>
      </c>
      <c r="S15" s="8">
        <v>0.0</v>
      </c>
      <c r="T15" s="9">
        <f t="shared" si="7"/>
        <v>0</v>
      </c>
      <c r="U15" s="10"/>
      <c r="V15" s="9"/>
      <c r="W15" s="10">
        <v>2.0</v>
      </c>
      <c r="X15" s="13"/>
      <c r="Y15" s="13"/>
    </row>
    <row r="16" ht="31.5" customHeight="1">
      <c r="A16" s="12">
        <v>45939.0</v>
      </c>
      <c r="B16" s="12">
        <v>45939.0</v>
      </c>
      <c r="C16" s="6" t="s">
        <v>68</v>
      </c>
      <c r="D16" s="6" t="str">
        <f t="shared" si="1"/>
        <v>COR_Meeting,_Officers_45939</v>
      </c>
      <c r="E16" s="6" t="s">
        <v>69</v>
      </c>
      <c r="F16" s="6" t="s">
        <v>27</v>
      </c>
      <c r="G16" s="6" t="s">
        <v>70</v>
      </c>
      <c r="H16" s="6" t="str">
        <f>IFERROR(__xludf.DUMMYFUNCTION("IFERROR(TEXTJOIN("", "", TRUE, FILTER(SPLIT(G16, "",""), ISERROR(MATCH(TRIM(SPLIT(G16, "","")), 'Master Roster'!C:C, 0)))), ""NONE"")"),"NONE")</f>
        <v>NONE</v>
      </c>
      <c r="I16" s="6">
        <f>IFERROR(__xludf.DUMMYFUNCTION("IF($G16="""", 0, COUNTA(SPLIT($G16, "","")))"),6.0)</f>
        <v>6</v>
      </c>
      <c r="J16" s="6">
        <v>0.0</v>
      </c>
      <c r="K16" s="7">
        <f t="shared" si="2"/>
        <v>6</v>
      </c>
      <c r="L16" s="6" t="s">
        <v>39</v>
      </c>
      <c r="M16" s="6">
        <v>1.75</v>
      </c>
      <c r="N16" s="7">
        <f t="shared" si="3"/>
        <v>0</v>
      </c>
      <c r="O16" s="7">
        <f t="shared" si="4"/>
        <v>0</v>
      </c>
      <c r="P16" s="7">
        <f t="shared" si="5"/>
        <v>10.5</v>
      </c>
      <c r="Q16" s="7">
        <f t="shared" si="6"/>
        <v>0</v>
      </c>
      <c r="R16" s="8">
        <v>0.0</v>
      </c>
      <c r="S16" s="8">
        <v>0.0</v>
      </c>
      <c r="T16" s="9">
        <f t="shared" si="7"/>
        <v>0</v>
      </c>
      <c r="U16" s="10"/>
      <c r="V16" s="9"/>
      <c r="W16" s="10"/>
      <c r="X16" s="13"/>
      <c r="Y16" s="13"/>
    </row>
    <row r="17" ht="31.5" customHeight="1">
      <c r="A17" s="5">
        <v>45940.0</v>
      </c>
      <c r="B17" s="5">
        <v>45940.0</v>
      </c>
      <c r="C17" s="6" t="s">
        <v>71</v>
      </c>
      <c r="D17" s="6" t="str">
        <f t="shared" si="1"/>
        <v>Pub_n'_Sub_Hangout_45940</v>
      </c>
      <c r="E17" s="6" t="s">
        <v>72</v>
      </c>
      <c r="F17" s="6" t="s">
        <v>42</v>
      </c>
      <c r="G17" s="6" t="s">
        <v>73</v>
      </c>
      <c r="H17" s="6" t="str">
        <f>IFERROR(__xludf.DUMMYFUNCTION("IFERROR(TEXTJOIN("", "", TRUE, FILTER(SPLIT(G17, "",""), ISERROR(MATCH(TRIM(SPLIT(G17, "","")), 'Master Roster'!C:C, 0)))), ""NONE"")"),"NONE")</f>
        <v>NONE</v>
      </c>
      <c r="I17" s="6">
        <f>IFERROR(__xludf.DUMMYFUNCTION("IF($G17="""", 0, COUNTA(SPLIT($G17, "","")))"),4.0)</f>
        <v>4</v>
      </c>
      <c r="J17" s="6">
        <v>1.0</v>
      </c>
      <c r="K17" s="7">
        <f t="shared" si="2"/>
        <v>5</v>
      </c>
      <c r="L17" s="6" t="s">
        <v>63</v>
      </c>
      <c r="M17" s="6">
        <v>4.25</v>
      </c>
      <c r="N17" s="7">
        <f t="shared" si="3"/>
        <v>0</v>
      </c>
      <c r="O17" s="7">
        <f t="shared" si="4"/>
        <v>21.25</v>
      </c>
      <c r="P17" s="7">
        <f t="shared" si="5"/>
        <v>0</v>
      </c>
      <c r="Q17" s="7">
        <f t="shared" si="6"/>
        <v>0</v>
      </c>
      <c r="R17" s="8">
        <v>0.0</v>
      </c>
      <c r="S17" s="8">
        <v>0.0</v>
      </c>
      <c r="T17" s="9">
        <f t="shared" si="7"/>
        <v>0</v>
      </c>
      <c r="U17" s="10"/>
      <c r="V17" s="9"/>
      <c r="W17" s="10"/>
      <c r="X17" s="13"/>
      <c r="Y17" s="14" t="s">
        <v>74</v>
      </c>
    </row>
    <row r="18" ht="31.5" customHeight="1">
      <c r="A18" s="5">
        <v>45942.0</v>
      </c>
      <c r="B18" s="5">
        <v>45942.0</v>
      </c>
      <c r="C18" s="6" t="s">
        <v>75</v>
      </c>
      <c r="D18" s="6" t="str">
        <f t="shared" si="1"/>
        <v>General_Meeting_45942</v>
      </c>
      <c r="E18" s="6" t="s">
        <v>47</v>
      </c>
      <c r="F18" s="6" t="s">
        <v>33</v>
      </c>
      <c r="G18" s="6" t="s">
        <v>76</v>
      </c>
      <c r="H18" s="6" t="str">
        <f>IFERROR(__xludf.DUMMYFUNCTION("IFERROR(TEXTJOIN("", "", TRUE, FILTER(SPLIT(G18, "",""), ISERROR(MATCH(TRIM(SPLIT(G18, "","")), 'Master Roster'!C:C, 0)))), ""NONE"")"),"NONE")</f>
        <v>NONE</v>
      </c>
      <c r="I18" s="6">
        <f>IFERROR(__xludf.DUMMYFUNCTION("IF($G18="""", 0, COUNTA(SPLIT($G18, "","")))"),8.0)</f>
        <v>8</v>
      </c>
      <c r="J18" s="6">
        <v>2.0</v>
      </c>
      <c r="K18" s="7">
        <f t="shared" si="2"/>
        <v>10</v>
      </c>
      <c r="L18" s="6" t="s">
        <v>50</v>
      </c>
      <c r="M18" s="6">
        <v>1.25</v>
      </c>
      <c r="N18" s="7">
        <f t="shared" si="3"/>
        <v>0</v>
      </c>
      <c r="O18" s="7">
        <f t="shared" si="4"/>
        <v>0</v>
      </c>
      <c r="P18" s="7">
        <f t="shared" si="5"/>
        <v>0</v>
      </c>
      <c r="Q18" s="7">
        <f t="shared" si="6"/>
        <v>12.5</v>
      </c>
      <c r="R18" s="8">
        <v>0.0</v>
      </c>
      <c r="S18" s="8">
        <v>130.0</v>
      </c>
      <c r="T18" s="9">
        <f t="shared" si="7"/>
        <v>130</v>
      </c>
      <c r="U18" s="10"/>
      <c r="V18" s="9"/>
      <c r="W18" s="10"/>
      <c r="X18" s="13"/>
      <c r="Y18" s="13"/>
    </row>
    <row r="19" ht="31.5" customHeight="1">
      <c r="A19" s="5">
        <v>45943.0</v>
      </c>
      <c r="B19" s="5">
        <v>45943.0</v>
      </c>
      <c r="C19" s="6" t="s">
        <v>77</v>
      </c>
      <c r="D19" s="6" t="str">
        <f t="shared" si="1"/>
        <v>Burrito_Project_45943</v>
      </c>
      <c r="E19" s="6" t="s">
        <v>77</v>
      </c>
      <c r="F19" s="6" t="s">
        <v>42</v>
      </c>
      <c r="G19" s="6" t="s">
        <v>42</v>
      </c>
      <c r="H19" s="6" t="str">
        <f>IFERROR(__xludf.DUMMYFUNCTION("IFERROR(TEXTJOIN("", "", TRUE, FILTER(SPLIT(G19, "",""), ISERROR(MATCH(TRIM(SPLIT(G19, "","")), 'Master Roster'!C:C, 0)))), ""NONE"")"),"NONE")</f>
        <v>NONE</v>
      </c>
      <c r="I19" s="6">
        <f>IFERROR(__xludf.DUMMYFUNCTION("IF($G19="""", 0, COUNTA(SPLIT($G19, "","")))"),1.0)</f>
        <v>1</v>
      </c>
      <c r="J19" s="6">
        <v>0.0</v>
      </c>
      <c r="K19" s="7">
        <f t="shared" si="2"/>
        <v>1</v>
      </c>
      <c r="L19" s="6" t="s">
        <v>29</v>
      </c>
      <c r="M19" s="6">
        <v>3.25</v>
      </c>
      <c r="N19" s="7">
        <f t="shared" si="3"/>
        <v>3.25</v>
      </c>
      <c r="O19" s="7">
        <f t="shared" si="4"/>
        <v>0</v>
      </c>
      <c r="P19" s="7">
        <f t="shared" si="5"/>
        <v>0</v>
      </c>
      <c r="Q19" s="7">
        <f t="shared" si="6"/>
        <v>0</v>
      </c>
      <c r="R19" s="8">
        <v>0.0</v>
      </c>
      <c r="S19" s="8">
        <v>0.0</v>
      </c>
      <c r="T19" s="9">
        <f t="shared" si="7"/>
        <v>0</v>
      </c>
      <c r="U19" s="10">
        <v>17.0</v>
      </c>
      <c r="V19" s="9"/>
      <c r="W19" s="10">
        <v>17.0</v>
      </c>
      <c r="X19" s="13"/>
      <c r="Y19" s="13"/>
    </row>
    <row r="20" ht="31.5" customHeight="1">
      <c r="A20" s="5">
        <v>45954.0</v>
      </c>
      <c r="B20" s="5">
        <v>45954.0</v>
      </c>
      <c r="C20" s="6" t="s">
        <v>78</v>
      </c>
      <c r="D20" s="6" t="str">
        <f t="shared" si="1"/>
        <v>Smoke,_Smoke,_&amp;_Smoke_45954</v>
      </c>
      <c r="E20" s="6" t="s">
        <v>78</v>
      </c>
      <c r="F20" s="6" t="s">
        <v>42</v>
      </c>
      <c r="G20" s="6" t="s">
        <v>79</v>
      </c>
      <c r="H20" s="6" t="str">
        <f>IFERROR(__xludf.DUMMYFUNCTION("IFERROR(TEXTJOIN("", "", TRUE, FILTER(SPLIT(G20, "",""), ISERROR(MATCH(TRIM(SPLIT(G20, "","")), 'Master Roster'!C:C, 0)))), ""NONE"")"),"NONE")</f>
        <v>NONE</v>
      </c>
      <c r="I20" s="6">
        <f>IFERROR(__xludf.DUMMYFUNCTION("IF($G20="""", 0, COUNTA(SPLIT($G20, "","")))"),7.0)</f>
        <v>7</v>
      </c>
      <c r="J20" s="6">
        <v>3.0</v>
      </c>
      <c r="K20" s="7">
        <f t="shared" si="2"/>
        <v>10</v>
      </c>
      <c r="L20" s="6" t="s">
        <v>63</v>
      </c>
      <c r="M20" s="6">
        <v>3.75</v>
      </c>
      <c r="N20" s="7">
        <f t="shared" si="3"/>
        <v>0</v>
      </c>
      <c r="O20" s="7">
        <f t="shared" si="4"/>
        <v>37.5</v>
      </c>
      <c r="P20" s="7">
        <f t="shared" si="5"/>
        <v>0</v>
      </c>
      <c r="Q20" s="7">
        <f t="shared" si="6"/>
        <v>0</v>
      </c>
      <c r="R20" s="8">
        <v>0.0</v>
      </c>
      <c r="S20" s="8">
        <v>0.0</v>
      </c>
      <c r="T20" s="9">
        <f t="shared" si="7"/>
        <v>0</v>
      </c>
      <c r="U20" s="10"/>
      <c r="V20" s="9"/>
      <c r="W20" s="10"/>
      <c r="X20" s="13"/>
      <c r="Y20" s="13"/>
    </row>
    <row r="21" ht="31.5" customHeight="1">
      <c r="A21" s="5">
        <v>45956.0</v>
      </c>
      <c r="B21" s="5">
        <v>45956.0</v>
      </c>
      <c r="C21" s="6" t="s">
        <v>80</v>
      </c>
      <c r="D21" s="6" t="str">
        <f t="shared" si="1"/>
        <v>Coffee_&amp;_Donuts_45956</v>
      </c>
      <c r="E21" s="6" t="s">
        <v>81</v>
      </c>
      <c r="F21" s="6" t="s">
        <v>48</v>
      </c>
      <c r="G21" s="6" t="s">
        <v>82</v>
      </c>
      <c r="H21" s="6" t="str">
        <f>IFERROR(__xludf.DUMMYFUNCTION("IFERROR(TEXTJOIN("", "", TRUE, FILTER(SPLIT(G21, "",""), ISERROR(MATCH(TRIM(SPLIT(G21, "","")), 'Master Roster'!C:C, 0)))), ""NONE"")"),"NONE")</f>
        <v>NONE</v>
      </c>
      <c r="I21" s="6">
        <f>IFERROR(__xludf.DUMMYFUNCTION("IF($G21="""", 0, COUNTA(SPLIT($G21, "","")))"),2.0)</f>
        <v>2</v>
      </c>
      <c r="J21" s="6">
        <v>1.0</v>
      </c>
      <c r="K21" s="7">
        <f t="shared" si="2"/>
        <v>3</v>
      </c>
      <c r="L21" s="6" t="s">
        <v>29</v>
      </c>
      <c r="M21" s="6">
        <v>2.0</v>
      </c>
      <c r="N21" s="7">
        <f t="shared" si="3"/>
        <v>6</v>
      </c>
      <c r="O21" s="7">
        <f t="shared" si="4"/>
        <v>0</v>
      </c>
      <c r="P21" s="7">
        <f t="shared" si="5"/>
        <v>0</v>
      </c>
      <c r="Q21" s="7">
        <f t="shared" si="6"/>
        <v>0</v>
      </c>
      <c r="R21" s="8">
        <v>0.0</v>
      </c>
      <c r="S21" s="8">
        <v>0.0</v>
      </c>
      <c r="T21" s="9">
        <f t="shared" si="7"/>
        <v>0</v>
      </c>
      <c r="U21" s="10"/>
      <c r="V21" s="9"/>
      <c r="W21" s="10">
        <v>74.0</v>
      </c>
      <c r="X21" s="13"/>
      <c r="Y21" s="13"/>
    </row>
    <row r="22" ht="31.5" customHeight="1">
      <c r="A22" s="5">
        <v>45957.0</v>
      </c>
      <c r="B22" s="5">
        <v>45957.0</v>
      </c>
      <c r="C22" s="6" t="s">
        <v>77</v>
      </c>
      <c r="D22" s="6" t="str">
        <f t="shared" si="1"/>
        <v>Burrito_Project_45957</v>
      </c>
      <c r="E22" s="6" t="s">
        <v>77</v>
      </c>
      <c r="F22" s="6" t="s">
        <v>42</v>
      </c>
      <c r="G22" s="6" t="s">
        <v>83</v>
      </c>
      <c r="H22" s="6" t="str">
        <f>IFERROR(__xludf.DUMMYFUNCTION("IFERROR(TEXTJOIN("", "", TRUE, FILTER(SPLIT(G22, "",""), ISERROR(MATCH(TRIM(SPLIT(G22, "","")), 'Master Roster'!C:C, 0)))), ""NONE"")"),"NONE")</f>
        <v>NONE</v>
      </c>
      <c r="I22" s="6">
        <f>IFERROR(__xludf.DUMMYFUNCTION("IF($G22="""", 0, COUNTA(SPLIT($G22, "","")))"),4.0)</f>
        <v>4</v>
      </c>
      <c r="J22" s="6">
        <v>1.0</v>
      </c>
      <c r="K22" s="7">
        <f t="shared" si="2"/>
        <v>5</v>
      </c>
      <c r="L22" s="6" t="s">
        <v>29</v>
      </c>
      <c r="M22" s="6">
        <v>4.75</v>
      </c>
      <c r="N22" s="7">
        <f t="shared" si="3"/>
        <v>23.75</v>
      </c>
      <c r="O22" s="7">
        <f t="shared" si="4"/>
        <v>0</v>
      </c>
      <c r="P22" s="7">
        <f t="shared" si="5"/>
        <v>0</v>
      </c>
      <c r="Q22" s="7">
        <f t="shared" si="6"/>
        <v>0</v>
      </c>
      <c r="R22" s="8">
        <v>0.0</v>
      </c>
      <c r="S22" s="8">
        <v>0.0</v>
      </c>
      <c r="T22" s="9">
        <f t="shared" si="7"/>
        <v>0</v>
      </c>
      <c r="U22" s="10">
        <v>24.0</v>
      </c>
      <c r="V22" s="9"/>
      <c r="W22" s="10">
        <v>24.0</v>
      </c>
      <c r="X22" s="14" t="s">
        <v>84</v>
      </c>
      <c r="Y22" s="14" t="s">
        <v>85</v>
      </c>
    </row>
    <row r="23" ht="31.5" customHeight="1">
      <c r="A23" s="12">
        <v>45962.0</v>
      </c>
      <c r="B23" s="12">
        <v>45962.0</v>
      </c>
      <c r="C23" s="6" t="s">
        <v>86</v>
      </c>
      <c r="D23" s="6" t="str">
        <f t="shared" si="1"/>
        <v>McCarran_Preserve_45962</v>
      </c>
      <c r="E23" s="6" t="s">
        <v>87</v>
      </c>
      <c r="F23" s="6" t="s">
        <v>88</v>
      </c>
      <c r="G23" s="6" t="s">
        <v>89</v>
      </c>
      <c r="H23" s="6" t="str">
        <f>IFERROR(__xludf.DUMMYFUNCTION("IFERROR(TEXTJOIN("", "", TRUE, FILTER(SPLIT(G23, "",""), ISERROR(MATCH(TRIM(SPLIT(G23, "","")), 'Master Roster'!C:C, 0)))), ""NONE"")"),"NONE")</f>
        <v>NONE</v>
      </c>
      <c r="I23" s="6">
        <f>IFERROR(__xludf.DUMMYFUNCTION("IF($G23="""", 0, COUNTA(SPLIT($G23, "","")))"),3.0)</f>
        <v>3</v>
      </c>
      <c r="J23" s="6">
        <v>1.0</v>
      </c>
      <c r="K23" s="7">
        <f t="shared" si="2"/>
        <v>4</v>
      </c>
      <c r="L23" s="6" t="s">
        <v>63</v>
      </c>
      <c r="M23" s="6">
        <v>2.5</v>
      </c>
      <c r="N23" s="7">
        <f t="shared" si="3"/>
        <v>0</v>
      </c>
      <c r="O23" s="7">
        <f t="shared" si="4"/>
        <v>10</v>
      </c>
      <c r="P23" s="7">
        <f t="shared" si="5"/>
        <v>0</v>
      </c>
      <c r="Q23" s="7">
        <f t="shared" si="6"/>
        <v>0</v>
      </c>
      <c r="R23" s="8">
        <v>0.0</v>
      </c>
      <c r="S23" s="8">
        <v>0.0</v>
      </c>
      <c r="T23" s="9">
        <f t="shared" si="7"/>
        <v>0</v>
      </c>
      <c r="U23" s="10"/>
      <c r="V23" s="9"/>
      <c r="W23" s="10"/>
      <c r="X23" s="13"/>
      <c r="Y23" s="13"/>
    </row>
    <row r="24" ht="31.5" customHeight="1">
      <c r="A24" s="5">
        <v>45972.0</v>
      </c>
      <c r="B24" s="5">
        <v>45972.0</v>
      </c>
      <c r="C24" s="6" t="s">
        <v>90</v>
      </c>
      <c r="D24" s="6" t="str">
        <f t="shared" si="1"/>
        <v>Veterans_Day_Parade_45972</v>
      </c>
      <c r="E24" s="6" t="s">
        <v>26</v>
      </c>
      <c r="F24" s="6" t="s">
        <v>33</v>
      </c>
      <c r="G24" s="6" t="s">
        <v>91</v>
      </c>
      <c r="H24" s="6" t="str">
        <f>IFERROR(__xludf.DUMMYFUNCTION("IFERROR(TEXTJOIN("", "", TRUE, FILTER(SPLIT(G24, "",""), ISERROR(MATCH(TRIM(SPLIT(G24, "","")), 'Master Roster'!C:C, 0)))), ""NONE"")"),"NONE")</f>
        <v>NONE</v>
      </c>
      <c r="I24" s="6">
        <f>IFERROR(__xludf.DUMMYFUNCTION("IF($G24="""", 0, COUNTA(SPLIT($G24, "","")))"),3.0)</f>
        <v>3</v>
      </c>
      <c r="J24" s="6">
        <v>1.0</v>
      </c>
      <c r="K24" s="7">
        <f t="shared" si="2"/>
        <v>4</v>
      </c>
      <c r="L24" s="6" t="s">
        <v>29</v>
      </c>
      <c r="M24" s="6">
        <v>4.25</v>
      </c>
      <c r="N24" s="7">
        <f t="shared" si="3"/>
        <v>17</v>
      </c>
      <c r="O24" s="7">
        <f t="shared" si="4"/>
        <v>0</v>
      </c>
      <c r="P24" s="7">
        <f t="shared" si="5"/>
        <v>0</v>
      </c>
      <c r="Q24" s="7">
        <f t="shared" si="6"/>
        <v>0</v>
      </c>
      <c r="R24" s="8">
        <v>0.0</v>
      </c>
      <c r="S24" s="8">
        <v>0.0</v>
      </c>
      <c r="T24" s="9">
        <f t="shared" si="7"/>
        <v>0</v>
      </c>
      <c r="U24" s="10"/>
      <c r="V24" s="9"/>
      <c r="W24" s="10"/>
      <c r="X24" s="13"/>
      <c r="Y24" s="13"/>
    </row>
    <row r="25" ht="31.5" customHeight="1">
      <c r="A25" s="5">
        <v>45974.0</v>
      </c>
      <c r="B25" s="5">
        <v>45974.0</v>
      </c>
      <c r="C25" s="6" t="s">
        <v>92</v>
      </c>
      <c r="D25" s="6" t="str">
        <f t="shared" si="1"/>
        <v>The_Lay_Apostalate:_Mission_in_the_Modern_World_45974</v>
      </c>
      <c r="E25" s="6" t="s">
        <v>69</v>
      </c>
      <c r="F25" s="6" t="s">
        <v>48</v>
      </c>
      <c r="G25" s="6" t="s">
        <v>93</v>
      </c>
      <c r="H25" s="6" t="str">
        <f>IFERROR(__xludf.DUMMYFUNCTION("IFERROR(TEXTJOIN("", "", TRUE, FILTER(SPLIT(G25, "",""), ISERROR(MATCH(TRIM(SPLIT(G25, "","")), 'Master Roster'!C:C, 0)))), ""NONE"")"),"NONE")</f>
        <v>NONE</v>
      </c>
      <c r="I25" s="6">
        <f>IFERROR(__xludf.DUMMYFUNCTION("IF($G25="""", 0, COUNTA(SPLIT($G25, "","")))"),10.0)</f>
        <v>10</v>
      </c>
      <c r="J25" s="6">
        <v>6.0</v>
      </c>
      <c r="K25" s="7">
        <f t="shared" si="2"/>
        <v>16</v>
      </c>
      <c r="L25" s="6" t="s">
        <v>39</v>
      </c>
      <c r="M25" s="6">
        <v>1.5</v>
      </c>
      <c r="N25" s="7">
        <f t="shared" si="3"/>
        <v>0</v>
      </c>
      <c r="O25" s="7">
        <f t="shared" si="4"/>
        <v>0</v>
      </c>
      <c r="P25" s="7">
        <f t="shared" si="5"/>
        <v>24</v>
      </c>
      <c r="Q25" s="7">
        <f t="shared" si="6"/>
        <v>0</v>
      </c>
      <c r="R25" s="8">
        <v>42.99</v>
      </c>
      <c r="S25" s="8">
        <v>0.0</v>
      </c>
      <c r="T25" s="9">
        <f t="shared" si="7"/>
        <v>-42.99</v>
      </c>
      <c r="U25" s="10"/>
      <c r="V25" s="9"/>
      <c r="W25" s="10"/>
      <c r="X25" s="13"/>
      <c r="Y25" s="14" t="s">
        <v>94</v>
      </c>
    </row>
    <row r="26" ht="31.5" customHeight="1">
      <c r="A26" s="5">
        <v>45976.0</v>
      </c>
      <c r="B26" s="5">
        <v>45976.0</v>
      </c>
      <c r="C26" s="6" t="s">
        <v>95</v>
      </c>
      <c r="D26" s="6" t="str">
        <f t="shared" si="1"/>
        <v>Shopping_45976</v>
      </c>
      <c r="E26" s="6" t="s">
        <v>96</v>
      </c>
      <c r="F26" s="6" t="s">
        <v>97</v>
      </c>
      <c r="G26" s="6" t="s">
        <v>98</v>
      </c>
      <c r="H26" s="6" t="str">
        <f>IFERROR(__xludf.DUMMYFUNCTION("IFERROR(TEXTJOIN("", "", TRUE, FILTER(SPLIT(#REF!, "",""), ISERROR(MATCH(TRIM(SPLIT(#REF!, "","")), 'Master Roster'!C:C, 0)))), ""NONE"")"),"NONE")</f>
        <v>NONE</v>
      </c>
      <c r="I26" s="6">
        <f>IFERROR(__xludf.DUMMYFUNCTION("IF($G26="""", 0, COUNTA(SPLIT($G26, "","")))"),2.0)</f>
        <v>2</v>
      </c>
      <c r="K26" s="7">
        <f t="shared" si="2"/>
        <v>2</v>
      </c>
      <c r="L26" s="6" t="s">
        <v>29</v>
      </c>
      <c r="M26" s="6">
        <v>3.0</v>
      </c>
      <c r="N26" s="7">
        <f t="shared" si="3"/>
        <v>6</v>
      </c>
      <c r="O26" s="7">
        <f t="shared" si="4"/>
        <v>0</v>
      </c>
      <c r="P26" s="7">
        <f t="shared" si="5"/>
        <v>0</v>
      </c>
      <c r="Q26" s="7">
        <f t="shared" si="6"/>
        <v>0</v>
      </c>
      <c r="R26" s="8">
        <v>300.0</v>
      </c>
      <c r="S26" s="8">
        <v>0.0</v>
      </c>
      <c r="T26" s="9">
        <f t="shared" si="7"/>
        <v>-300</v>
      </c>
      <c r="U26" s="10"/>
      <c r="V26" s="9"/>
      <c r="W26" s="10"/>
      <c r="X26" s="13"/>
      <c r="Y26" s="13"/>
    </row>
    <row r="27" ht="31.5" customHeight="1">
      <c r="A27" s="5">
        <v>45979.0</v>
      </c>
      <c r="B27" s="5">
        <v>45979.0</v>
      </c>
      <c r="C27" s="6" t="s">
        <v>75</v>
      </c>
      <c r="D27" s="6" t="str">
        <f t="shared" si="1"/>
        <v>General_Meeting_45979</v>
      </c>
      <c r="E27" s="6" t="s">
        <v>47</v>
      </c>
      <c r="F27" s="6" t="s">
        <v>99</v>
      </c>
      <c r="G27" s="6" t="s">
        <v>100</v>
      </c>
      <c r="H27" s="6" t="str">
        <f>IFERROR(__xludf.DUMMYFUNCTION("IFERROR(TEXTJOIN("", "", TRUE, FILTER(SPLIT(G27, "",""), ISERROR(MATCH(TRIM(SPLIT(G27, "","")), 'Master Roster'!C:C, 0)))), ""NONE"")"),"NONE")</f>
        <v>NONE</v>
      </c>
      <c r="I27" s="6">
        <f>IFERROR(__xludf.DUMMYFUNCTION("IF($G27="""", 0, COUNTA(SPLIT($G27, "","")))"),3.0)</f>
        <v>3</v>
      </c>
      <c r="J27" s="6">
        <v>1.0</v>
      </c>
      <c r="K27" s="7">
        <f t="shared" si="2"/>
        <v>4</v>
      </c>
      <c r="L27" s="6" t="s">
        <v>50</v>
      </c>
      <c r="M27" s="6">
        <v>0.25</v>
      </c>
      <c r="N27" s="7">
        <f t="shared" si="3"/>
        <v>0</v>
      </c>
      <c r="O27" s="7">
        <f t="shared" si="4"/>
        <v>0</v>
      </c>
      <c r="P27" s="7">
        <f t="shared" si="5"/>
        <v>0</v>
      </c>
      <c r="Q27" s="7">
        <f t="shared" si="6"/>
        <v>1</v>
      </c>
      <c r="R27" s="8">
        <v>0.0</v>
      </c>
      <c r="S27" s="8">
        <v>0.0</v>
      </c>
      <c r="T27" s="9">
        <f t="shared" si="7"/>
        <v>0</v>
      </c>
      <c r="U27" s="10"/>
      <c r="V27" s="9"/>
      <c r="W27" s="10"/>
      <c r="X27" s="13"/>
      <c r="Y27" s="13"/>
    </row>
    <row r="28" ht="31.5" customHeight="1">
      <c r="A28" s="5">
        <v>45980.0</v>
      </c>
      <c r="B28" s="5">
        <v>45980.0</v>
      </c>
      <c r="C28" s="6" t="s">
        <v>101</v>
      </c>
      <c r="D28" s="6" t="str">
        <f t="shared" si="1"/>
        <v>Assembly_45980</v>
      </c>
      <c r="E28" s="6" t="s">
        <v>96</v>
      </c>
      <c r="F28" s="6" t="s">
        <v>97</v>
      </c>
      <c r="G28" s="6" t="s">
        <v>102</v>
      </c>
      <c r="H28" s="6" t="str">
        <f>IFERROR(__xludf.DUMMYFUNCTION("IFERROR(TEXTJOIN("", "", TRUE, FILTER(SPLIT(#REF!, "",""), ISERROR(MATCH(TRIM(SPLIT(#REF!, "","")), 'Master Roster'!C:C, 0)))), ""NONE"")"),"NONE")</f>
        <v>NONE</v>
      </c>
      <c r="I28" s="6">
        <f>IFERROR(__xludf.DUMMYFUNCTION("IF($G28="""", 0, COUNTA(SPLIT($G28, "","")))"),2.0)</f>
        <v>2</v>
      </c>
      <c r="K28" s="7">
        <f t="shared" si="2"/>
        <v>2</v>
      </c>
      <c r="L28" s="6" t="s">
        <v>29</v>
      </c>
      <c r="M28" s="6">
        <v>1.0</v>
      </c>
      <c r="N28" s="7">
        <f t="shared" si="3"/>
        <v>2</v>
      </c>
      <c r="O28" s="7">
        <f t="shared" si="4"/>
        <v>0</v>
      </c>
      <c r="P28" s="7">
        <f t="shared" si="5"/>
        <v>0</v>
      </c>
      <c r="Q28" s="7">
        <f t="shared" si="6"/>
        <v>0</v>
      </c>
      <c r="R28" s="8">
        <v>0.0</v>
      </c>
      <c r="S28" s="8">
        <v>0.0</v>
      </c>
      <c r="T28" s="9">
        <f t="shared" si="7"/>
        <v>0</v>
      </c>
      <c r="U28" s="10"/>
      <c r="V28" s="9"/>
      <c r="W28" s="10"/>
      <c r="X28" s="13"/>
      <c r="Y28" s="13"/>
    </row>
    <row r="29" ht="31.5" customHeight="1">
      <c r="A29" s="5">
        <v>45982.0</v>
      </c>
      <c r="B29" s="5">
        <v>45982.0</v>
      </c>
      <c r="C29" s="6" t="s">
        <v>78</v>
      </c>
      <c r="D29" s="6" t="str">
        <f t="shared" si="1"/>
        <v>Smoke,_Smoke,_&amp;_Smoke_45982</v>
      </c>
      <c r="E29" s="6" t="s">
        <v>78</v>
      </c>
      <c r="F29" s="6" t="s">
        <v>42</v>
      </c>
      <c r="G29" s="6" t="s">
        <v>103</v>
      </c>
      <c r="H29" s="6" t="str">
        <f>IFERROR(__xludf.DUMMYFUNCTION("IFERROR(TEXTJOIN("", "", TRUE, FILTER(SPLIT(G29, "",""), ISERROR(MATCH(TRIM(SPLIT(G29, "","")), 'Master Roster'!C:C, 0)))), ""NONE"")"),"NONE")</f>
        <v>NONE</v>
      </c>
      <c r="I29" s="6">
        <f>IFERROR(__xludf.DUMMYFUNCTION("IF($G29="""", 0, COUNTA(SPLIT($G29, "","")))"),9.0)</f>
        <v>9</v>
      </c>
      <c r="J29" s="6">
        <v>3.0</v>
      </c>
      <c r="K29" s="7">
        <f t="shared" si="2"/>
        <v>12</v>
      </c>
      <c r="L29" s="6" t="s">
        <v>63</v>
      </c>
      <c r="M29" s="6">
        <v>3.0</v>
      </c>
      <c r="N29" s="7">
        <f t="shared" si="3"/>
        <v>0</v>
      </c>
      <c r="O29" s="7">
        <f t="shared" si="4"/>
        <v>36</v>
      </c>
      <c r="P29" s="7">
        <f t="shared" si="5"/>
        <v>0</v>
      </c>
      <c r="Q29" s="7">
        <f t="shared" si="6"/>
        <v>0</v>
      </c>
      <c r="R29" s="8">
        <v>0.0</v>
      </c>
      <c r="S29" s="8">
        <v>0.0</v>
      </c>
      <c r="T29" s="9">
        <f t="shared" si="7"/>
        <v>0</v>
      </c>
      <c r="U29" s="10"/>
      <c r="V29" s="9"/>
      <c r="W29" s="10"/>
      <c r="X29" s="13"/>
      <c r="Y29" s="14" t="s">
        <v>104</v>
      </c>
    </row>
    <row r="30" ht="31.5" customHeight="1">
      <c r="A30" s="5">
        <v>45983.0</v>
      </c>
      <c r="B30" s="5">
        <v>45983.0</v>
      </c>
      <c r="C30" s="6" t="s">
        <v>77</v>
      </c>
      <c r="D30" s="6" t="str">
        <f t="shared" si="1"/>
        <v>Burrito_Project_45983</v>
      </c>
      <c r="E30" s="6" t="s">
        <v>77</v>
      </c>
      <c r="F30" s="6" t="s">
        <v>42</v>
      </c>
      <c r="G30" s="6" t="s">
        <v>42</v>
      </c>
      <c r="H30" s="6" t="str">
        <f>IFERROR(__xludf.DUMMYFUNCTION("IFERROR(TEXTJOIN("", "", TRUE, FILTER(SPLIT(G30, "",""), ISERROR(MATCH(TRIM(SPLIT(G30, "","")), 'Master Roster'!C:C, 0)))), ""NONE"")"),"NONE")</f>
        <v>NONE</v>
      </c>
      <c r="I30" s="6">
        <f>IFERROR(__xludf.DUMMYFUNCTION("IF($G30="""", 0, COUNTA(SPLIT($G30, "","")))"),1.0)</f>
        <v>1</v>
      </c>
      <c r="J30" s="6"/>
      <c r="K30" s="7">
        <f t="shared" si="2"/>
        <v>1</v>
      </c>
      <c r="L30" s="6" t="s">
        <v>29</v>
      </c>
      <c r="M30" s="6">
        <v>7.0</v>
      </c>
      <c r="N30" s="7">
        <f t="shared" si="3"/>
        <v>7</v>
      </c>
      <c r="O30" s="7">
        <f t="shared" si="4"/>
        <v>0</v>
      </c>
      <c r="P30" s="7">
        <f t="shared" si="5"/>
        <v>0</v>
      </c>
      <c r="Q30" s="7">
        <f t="shared" si="6"/>
        <v>0</v>
      </c>
      <c r="R30" s="8">
        <v>0.0</v>
      </c>
      <c r="S30" s="8">
        <v>0.0</v>
      </c>
      <c r="T30" s="9">
        <f t="shared" si="7"/>
        <v>0</v>
      </c>
      <c r="U30" s="10">
        <v>10.0</v>
      </c>
      <c r="V30" s="9"/>
      <c r="W30" s="10">
        <v>10.0</v>
      </c>
      <c r="X30" s="14" t="s">
        <v>105</v>
      </c>
      <c r="Y30" s="14" t="s">
        <v>106</v>
      </c>
    </row>
    <row r="31" ht="31.5" customHeight="1">
      <c r="A31" s="5">
        <v>45986.0</v>
      </c>
      <c r="B31" s="5">
        <v>45986.0</v>
      </c>
      <c r="C31" s="6" t="s">
        <v>75</v>
      </c>
      <c r="D31" s="6" t="str">
        <f t="shared" si="1"/>
        <v>General_Meeting_45986</v>
      </c>
      <c r="E31" s="6" t="s">
        <v>47</v>
      </c>
      <c r="F31" s="6" t="s">
        <v>99</v>
      </c>
      <c r="G31" s="6" t="s">
        <v>107</v>
      </c>
      <c r="H31" s="6" t="str">
        <f>IFERROR(__xludf.DUMMYFUNCTION("IFERROR(TEXTJOIN("", "", TRUE, FILTER(SPLIT(G31, "",""), ISERROR(MATCH(TRIM(SPLIT(G31, "","")), 'Master Roster'!C:C, 0)))), ""NONE"")"),"NONE")</f>
        <v>NONE</v>
      </c>
      <c r="I31" s="6">
        <f>IFERROR(__xludf.DUMMYFUNCTION("IF($G31="""", 0, COUNTA(SPLIT($G31, "","")))"),5.0)</f>
        <v>5</v>
      </c>
      <c r="K31" s="7">
        <f t="shared" si="2"/>
        <v>5</v>
      </c>
      <c r="L31" s="6" t="s">
        <v>50</v>
      </c>
      <c r="M31" s="6">
        <v>1.25</v>
      </c>
      <c r="N31" s="7">
        <f t="shared" si="3"/>
        <v>0</v>
      </c>
      <c r="O31" s="7">
        <f t="shared" si="4"/>
        <v>0</v>
      </c>
      <c r="P31" s="7">
        <f t="shared" si="5"/>
        <v>0</v>
      </c>
      <c r="Q31" s="7">
        <f t="shared" si="6"/>
        <v>6.25</v>
      </c>
      <c r="R31" s="8">
        <v>0.0</v>
      </c>
      <c r="S31" s="8">
        <v>0.0</v>
      </c>
      <c r="T31" s="9">
        <f t="shared" si="7"/>
        <v>0</v>
      </c>
      <c r="U31" s="10"/>
      <c r="V31" s="9"/>
      <c r="W31" s="10"/>
      <c r="X31" s="13"/>
      <c r="Y31" s="13"/>
    </row>
    <row r="32" ht="31.5" customHeight="1">
      <c r="A32" s="5">
        <v>45986.0</v>
      </c>
      <c r="B32" s="5">
        <v>45986.0</v>
      </c>
      <c r="C32" s="6" t="s">
        <v>108</v>
      </c>
      <c r="D32" s="6" t="str">
        <f t="shared" si="1"/>
        <v>Distribution_45986</v>
      </c>
      <c r="E32" s="6" t="s">
        <v>96</v>
      </c>
      <c r="F32" s="6" t="s">
        <v>109</v>
      </c>
      <c r="G32" s="6" t="s">
        <v>110</v>
      </c>
      <c r="H32" s="6" t="str">
        <f>IFERROR(__xludf.DUMMYFUNCTION("IFERROR(TEXTJOIN("", "", TRUE, FILTER(SPLIT(G32, "",""), ISERROR(MATCH(TRIM(SPLIT(G32, "","")), 'Master Roster'!C:C, 0)))), ""NONE"")"),"NONE")</f>
        <v>NONE</v>
      </c>
      <c r="I32" s="6">
        <f>IFERROR(__xludf.DUMMYFUNCTION("IF($G32="""", 0, COUNTA(SPLIT($G32, "","")))"),4.0)</f>
        <v>4</v>
      </c>
      <c r="K32" s="7">
        <f t="shared" si="2"/>
        <v>4</v>
      </c>
      <c r="L32" s="6" t="s">
        <v>29</v>
      </c>
      <c r="M32" s="6">
        <v>1.5</v>
      </c>
      <c r="N32" s="7">
        <f t="shared" si="3"/>
        <v>6</v>
      </c>
      <c r="O32" s="7">
        <f t="shared" si="4"/>
        <v>0</v>
      </c>
      <c r="P32" s="7">
        <f t="shared" si="5"/>
        <v>0</v>
      </c>
      <c r="Q32" s="7">
        <f t="shared" si="6"/>
        <v>0</v>
      </c>
      <c r="R32" s="8">
        <v>0.0</v>
      </c>
      <c r="S32" s="8">
        <v>0.0</v>
      </c>
      <c r="T32" s="9">
        <f t="shared" si="7"/>
        <v>0</v>
      </c>
      <c r="U32" s="10">
        <v>40.0</v>
      </c>
      <c r="V32" s="9"/>
      <c r="W32" s="10">
        <v>40.0</v>
      </c>
      <c r="X32" s="14" t="s">
        <v>111</v>
      </c>
      <c r="Y32" s="13"/>
    </row>
    <row r="33" ht="31.5" customHeight="1">
      <c r="A33" s="12">
        <v>45995.0</v>
      </c>
      <c r="B33" s="12">
        <v>45995.0</v>
      </c>
      <c r="C33" s="6" t="s">
        <v>112</v>
      </c>
      <c r="D33" s="6" t="str">
        <f t="shared" si="1"/>
        <v>Exemplification_45995</v>
      </c>
      <c r="E33" s="6" t="s">
        <v>47</v>
      </c>
      <c r="F33" s="6" t="s">
        <v>48</v>
      </c>
      <c r="G33" s="6" t="s">
        <v>113</v>
      </c>
      <c r="H33" s="6" t="str">
        <f>IFERROR(__xludf.DUMMYFUNCTION("IFERROR(TEXTJOIN("", "", TRUE, FILTER(SPLIT(G33, "",""), ISERROR(MATCH(TRIM(SPLIT(G33, "","")), 'Master Roster'!C:C, 0)))), ""NONE"")"),"NONE")</f>
        <v>NONE</v>
      </c>
      <c r="I33" s="6">
        <f>IFERROR(__xludf.DUMMYFUNCTION("IF($G33="""", 0, COUNTA(SPLIT($G33, "","")))"),3.0)</f>
        <v>3</v>
      </c>
      <c r="K33" s="7">
        <f t="shared" si="2"/>
        <v>3</v>
      </c>
      <c r="L33" s="6" t="s">
        <v>50</v>
      </c>
      <c r="M33" s="6">
        <v>1.0</v>
      </c>
      <c r="N33" s="7">
        <f t="shared" si="3"/>
        <v>0</v>
      </c>
      <c r="O33" s="7">
        <f t="shared" si="4"/>
        <v>0</v>
      </c>
      <c r="P33" s="7">
        <f t="shared" si="5"/>
        <v>0</v>
      </c>
      <c r="Q33" s="7">
        <f t="shared" si="6"/>
        <v>3</v>
      </c>
      <c r="R33" s="8">
        <v>0.0</v>
      </c>
      <c r="S33" s="8">
        <v>0.0</v>
      </c>
      <c r="T33" s="9">
        <f t="shared" si="7"/>
        <v>0</v>
      </c>
      <c r="U33" s="10"/>
      <c r="V33" s="9"/>
      <c r="W33" s="10"/>
      <c r="X33" s="13"/>
      <c r="Y33" s="14" t="s">
        <v>114</v>
      </c>
    </row>
    <row r="34" ht="31.5" customHeight="1">
      <c r="A34" s="5">
        <v>46005.0</v>
      </c>
      <c r="B34" s="5">
        <v>46005.0</v>
      </c>
      <c r="C34" s="6" t="s">
        <v>75</v>
      </c>
      <c r="D34" s="6" t="str">
        <f t="shared" si="1"/>
        <v>General_Meeting_46005</v>
      </c>
      <c r="E34" s="6" t="s">
        <v>47</v>
      </c>
      <c r="F34" s="6" t="s">
        <v>33</v>
      </c>
      <c r="G34" s="6" t="s">
        <v>115</v>
      </c>
      <c r="H34" s="6" t="str">
        <f>IFERROR(__xludf.DUMMYFUNCTION("IFERROR(TEXTJOIN("", "", TRUE, FILTER(SPLIT(G34, "",""), ISERROR(MATCH(TRIM(SPLIT(G34, "","")), 'Master Roster'!C:C, 0)))), ""NONE"")"),"NONE")</f>
        <v>NONE</v>
      </c>
      <c r="I34" s="6">
        <f>IFERROR(__xludf.DUMMYFUNCTION("IF($G34="""", 0, COUNTA(SPLIT($G34, "","")))"),8.0)</f>
        <v>8</v>
      </c>
      <c r="K34" s="7">
        <f t="shared" si="2"/>
        <v>8</v>
      </c>
      <c r="L34" s="6" t="s">
        <v>50</v>
      </c>
      <c r="M34" s="6">
        <v>1.0</v>
      </c>
      <c r="N34" s="7">
        <f t="shared" si="3"/>
        <v>0</v>
      </c>
      <c r="O34" s="7">
        <f t="shared" si="4"/>
        <v>0</v>
      </c>
      <c r="P34" s="7">
        <f t="shared" si="5"/>
        <v>0</v>
      </c>
      <c r="Q34" s="7">
        <f t="shared" si="6"/>
        <v>8</v>
      </c>
      <c r="R34" s="8">
        <v>0.0</v>
      </c>
      <c r="S34" s="8">
        <v>0.0</v>
      </c>
      <c r="T34" s="9">
        <f t="shared" si="7"/>
        <v>0</v>
      </c>
      <c r="U34" s="10"/>
      <c r="V34" s="9"/>
      <c r="W34" s="10"/>
      <c r="X34" s="13"/>
      <c r="Y34" s="13"/>
    </row>
    <row r="35" ht="31.5" customHeight="1">
      <c r="A35" s="5">
        <v>46005.0</v>
      </c>
      <c r="B35" s="5">
        <v>46005.0</v>
      </c>
      <c r="C35" s="6" t="s">
        <v>116</v>
      </c>
      <c r="D35" s="6" t="str">
        <f t="shared" si="1"/>
        <v>Parish_Dinner_46005</v>
      </c>
      <c r="E35" s="6" t="s">
        <v>81</v>
      </c>
      <c r="F35" s="6" t="s">
        <v>27</v>
      </c>
      <c r="G35" s="6" t="s">
        <v>117</v>
      </c>
      <c r="H35" s="6" t="str">
        <f>IFERROR(__xludf.DUMMYFUNCTION("IFERROR(TEXTJOIN("", "", TRUE, FILTER(SPLIT(G35, "",""), ISERROR(MATCH(TRIM(SPLIT(G35, "","")), 'Master Roster'!C:C, 0)))), ""NONE"")"),"NONE")</f>
        <v>NONE</v>
      </c>
      <c r="I35" s="6">
        <f>IFERROR(__xludf.DUMMYFUNCTION("IF($G35="""", 0, COUNTA(SPLIT($G35, "","")))"),5.0)</f>
        <v>5</v>
      </c>
      <c r="K35" s="7">
        <f t="shared" si="2"/>
        <v>5</v>
      </c>
      <c r="L35" s="6" t="s">
        <v>29</v>
      </c>
      <c r="M35" s="6">
        <v>2.0</v>
      </c>
      <c r="N35" s="7">
        <f t="shared" si="3"/>
        <v>10</v>
      </c>
      <c r="O35" s="7">
        <f t="shared" si="4"/>
        <v>0</v>
      </c>
      <c r="P35" s="7">
        <f t="shared" si="5"/>
        <v>0</v>
      </c>
      <c r="Q35" s="7">
        <f t="shared" si="6"/>
        <v>0</v>
      </c>
      <c r="R35" s="8">
        <v>0.0</v>
      </c>
      <c r="S35" s="8">
        <v>0.0</v>
      </c>
      <c r="T35" s="9">
        <f t="shared" si="7"/>
        <v>0</v>
      </c>
      <c r="U35" s="10"/>
      <c r="V35" s="9"/>
      <c r="W35" s="10"/>
      <c r="X35" s="13"/>
      <c r="Y35" s="13"/>
    </row>
    <row r="36" ht="31.5" customHeight="1">
      <c r="A36" s="5">
        <v>46006.0</v>
      </c>
      <c r="B36" s="5">
        <v>46006.0</v>
      </c>
      <c r="C36" s="6" t="s">
        <v>118</v>
      </c>
      <c r="D36" s="6" t="str">
        <f t="shared" si="1"/>
        <v>Gravestone_Cleaning_@_Our_Mother_of_Sorrows_Cemetary_46006</v>
      </c>
      <c r="E36" s="6" t="s">
        <v>26</v>
      </c>
      <c r="F36" s="6" t="s">
        <v>48</v>
      </c>
      <c r="G36" s="6" t="s">
        <v>119</v>
      </c>
      <c r="H36" s="6" t="str">
        <f>IFERROR(__xludf.DUMMYFUNCTION("IFERROR(TEXTJOIN("", "", TRUE, FILTER(SPLIT(G36, "",""), ISERROR(MATCH(TRIM(SPLIT(G36, "","")), 'Master Roster'!C:C, 0)))), ""NONE"")"),"NONE")</f>
        <v>NONE</v>
      </c>
      <c r="I36" s="6">
        <f>IFERROR(__xludf.DUMMYFUNCTION("IF($G36="""", 0, COUNTA(SPLIT($G36, "","")))"),2.0)</f>
        <v>2</v>
      </c>
      <c r="K36" s="7">
        <f t="shared" si="2"/>
        <v>2</v>
      </c>
      <c r="L36" s="6" t="s">
        <v>29</v>
      </c>
      <c r="M36" s="6">
        <v>2.5</v>
      </c>
      <c r="N36" s="7">
        <f t="shared" si="3"/>
        <v>5</v>
      </c>
      <c r="O36" s="7">
        <f t="shared" si="4"/>
        <v>0</v>
      </c>
      <c r="P36" s="7">
        <f t="shared" si="5"/>
        <v>0</v>
      </c>
      <c r="Q36" s="7">
        <f t="shared" si="6"/>
        <v>0</v>
      </c>
      <c r="R36" s="8">
        <v>0.0</v>
      </c>
      <c r="S36" s="8">
        <v>0.0</v>
      </c>
      <c r="T36" s="9">
        <f t="shared" si="7"/>
        <v>0</v>
      </c>
      <c r="U36" s="10"/>
      <c r="V36" s="9"/>
      <c r="W36" s="10"/>
      <c r="X36" s="13"/>
      <c r="Y36" s="13"/>
    </row>
    <row r="37" ht="31.5" customHeight="1">
      <c r="A37" s="4">
        <v>46012.0</v>
      </c>
      <c r="B37" s="5">
        <v>46012.0</v>
      </c>
      <c r="C37" s="6" t="s">
        <v>30</v>
      </c>
      <c r="D37" s="6" t="str">
        <f t="shared" si="1"/>
        <v>Christmas_Caroling_46012</v>
      </c>
      <c r="E37" s="6" t="s">
        <v>26</v>
      </c>
      <c r="F37" s="6" t="s">
        <v>27</v>
      </c>
      <c r="H37" s="6" t="str">
        <f>IFERROR(__xludf.DUMMYFUNCTION("IFERROR(TEXTJOIN("", "", TRUE, FILTER(SPLIT(G37, "",""), ISERROR(MATCH(TRIM(SPLIT(G37, "","")), 'Master Roster'!C:C, 0)))), ""NONE"")"),"NONE")</f>
        <v>NONE</v>
      </c>
      <c r="I37" s="6">
        <f>IFERROR(__xludf.DUMMYFUNCTION("IF($G37="""", 0, COUNTA(SPLIT($G37, "","")))"),0.0)</f>
        <v>0</v>
      </c>
      <c r="K37" s="7">
        <f t="shared" si="2"/>
        <v>0</v>
      </c>
      <c r="L37" s="6" t="s">
        <v>29</v>
      </c>
      <c r="N37" s="7">
        <f t="shared" si="3"/>
        <v>0</v>
      </c>
      <c r="O37" s="7">
        <f t="shared" si="4"/>
        <v>0</v>
      </c>
      <c r="P37" s="7">
        <f t="shared" si="5"/>
        <v>0</v>
      </c>
      <c r="Q37" s="7">
        <f t="shared" si="6"/>
        <v>0</v>
      </c>
      <c r="R37" s="8">
        <v>0.0</v>
      </c>
      <c r="S37" s="8">
        <v>0.0</v>
      </c>
      <c r="T37" s="9">
        <f t="shared" si="7"/>
        <v>0</v>
      </c>
      <c r="U37" s="10"/>
      <c r="V37" s="9"/>
      <c r="W37" s="10"/>
      <c r="X37" s="13"/>
      <c r="Y37" s="13"/>
    </row>
    <row r="38" ht="31.5" customHeight="1">
      <c r="A38" s="12">
        <v>46031.0</v>
      </c>
      <c r="B38" s="12">
        <v>46033.0</v>
      </c>
      <c r="C38" s="6" t="s">
        <v>120</v>
      </c>
      <c r="D38" s="6" t="str">
        <f t="shared" si="1"/>
        <v>Reno_Diocesan_Conference_46031</v>
      </c>
      <c r="E38" s="6" t="s">
        <v>26</v>
      </c>
      <c r="F38" s="6" t="s">
        <v>121</v>
      </c>
      <c r="H38" s="6" t="str">
        <f>IFERROR(__xludf.DUMMYFUNCTION("IFERROR(TEXTJOIN("", "", TRUE, FILTER(SPLIT(G38, "",""), ISERROR(MATCH(TRIM(SPLIT(G38, "","")), 'Master Roster'!C:C, 0)))), ""NONE"")"),"NONE")</f>
        <v>NONE</v>
      </c>
      <c r="I38" s="6">
        <f>IFERROR(__xludf.DUMMYFUNCTION("IF($G38="""", 0, COUNTA(SPLIT($G38, "","")))"),0.0)</f>
        <v>0</v>
      </c>
      <c r="K38" s="7">
        <f t="shared" si="2"/>
        <v>0</v>
      </c>
      <c r="L38" s="6" t="s">
        <v>50</v>
      </c>
      <c r="M38" s="6">
        <v>0.0</v>
      </c>
      <c r="N38" s="7">
        <f t="shared" si="3"/>
        <v>0</v>
      </c>
      <c r="O38" s="7">
        <f t="shared" si="4"/>
        <v>0</v>
      </c>
      <c r="P38" s="7">
        <f t="shared" si="5"/>
        <v>0</v>
      </c>
      <c r="Q38" s="7">
        <f t="shared" si="6"/>
        <v>0</v>
      </c>
      <c r="R38" s="8">
        <v>0.0</v>
      </c>
      <c r="S38" s="8">
        <v>0.0</v>
      </c>
      <c r="T38" s="9">
        <f t="shared" si="7"/>
        <v>0</v>
      </c>
      <c r="U38" s="10"/>
      <c r="V38" s="9"/>
      <c r="W38" s="10"/>
      <c r="X38" s="13"/>
      <c r="Y38" s="14" t="s">
        <v>122</v>
      </c>
    </row>
    <row r="39" ht="31.5" customHeight="1">
      <c r="A39" s="11">
        <v>46031.0</v>
      </c>
      <c r="B39" s="12">
        <v>46031.0</v>
      </c>
      <c r="C39" s="6" t="s">
        <v>123</v>
      </c>
      <c r="D39" s="6" t="str">
        <f t="shared" si="1"/>
        <v>Organ_Building_46031</v>
      </c>
      <c r="E39" s="6" t="s">
        <v>26</v>
      </c>
      <c r="F39" s="6" t="s">
        <v>27</v>
      </c>
      <c r="G39" s="6" t="s">
        <v>27</v>
      </c>
      <c r="H39" s="6" t="str">
        <f>IFERROR(__xludf.DUMMYFUNCTION("IFERROR(TEXTJOIN("", "", TRUE, FILTER(SPLIT(G39, "",""), ISERROR(MATCH(TRIM(SPLIT(G39, "","")), 'Master Roster'!C:C, 0)))), ""NONE"")"),"NONE")</f>
        <v>NONE</v>
      </c>
      <c r="I39" s="6">
        <f>IFERROR(__xludf.DUMMYFUNCTION("IF($G39="""", 0, COUNTA(SPLIT($G39, "","")))"),1.0)</f>
        <v>1</v>
      </c>
      <c r="K39" s="7">
        <f t="shared" si="2"/>
        <v>1</v>
      </c>
      <c r="L39" s="6" t="s">
        <v>29</v>
      </c>
      <c r="M39" s="6">
        <v>2.0</v>
      </c>
      <c r="N39" s="7">
        <f t="shared" si="3"/>
        <v>2</v>
      </c>
      <c r="O39" s="7">
        <f t="shared" si="4"/>
        <v>0</v>
      </c>
      <c r="P39" s="7">
        <f t="shared" si="5"/>
        <v>0</v>
      </c>
      <c r="Q39" s="7">
        <f t="shared" si="6"/>
        <v>0</v>
      </c>
      <c r="R39" s="8">
        <v>0.0</v>
      </c>
      <c r="S39" s="8">
        <v>0.0</v>
      </c>
      <c r="T39" s="9">
        <f t="shared" si="7"/>
        <v>0</v>
      </c>
      <c r="U39" s="10"/>
      <c r="V39" s="9"/>
      <c r="W39" s="10"/>
      <c r="X39" s="13"/>
      <c r="Y39" s="13"/>
    </row>
    <row r="40" ht="31.5" customHeight="1">
      <c r="A40" s="12">
        <v>46038.0</v>
      </c>
      <c r="B40" s="12">
        <v>46038.0</v>
      </c>
      <c r="C40" s="6" t="s">
        <v>124</v>
      </c>
      <c r="D40" s="6" t="str">
        <f t="shared" si="1"/>
        <v>Catholic_Charities_Tour_46038</v>
      </c>
      <c r="E40" s="6" t="s">
        <v>26</v>
      </c>
      <c r="F40" s="6" t="s">
        <v>121</v>
      </c>
      <c r="H40" s="6" t="str">
        <f>IFERROR(__xludf.DUMMYFUNCTION("IFERROR(TEXTJOIN("", "", TRUE, FILTER(SPLIT(G40, "",""), ISERROR(MATCH(TRIM(SPLIT(G40, "","")), 'Master Roster'!C:C, 0)))), ""NONE"")"),"NONE")</f>
        <v>NONE</v>
      </c>
      <c r="I40" s="6">
        <f>IFERROR(__xludf.DUMMYFUNCTION("IF($G40="""", 0, COUNTA(SPLIT($G40, "","")))"),0.0)</f>
        <v>0</v>
      </c>
      <c r="K40" s="7">
        <f t="shared" si="2"/>
        <v>0</v>
      </c>
      <c r="L40" s="6" t="s">
        <v>50</v>
      </c>
      <c r="N40" s="7">
        <f t="shared" si="3"/>
        <v>0</v>
      </c>
      <c r="O40" s="7">
        <f t="shared" si="4"/>
        <v>0</v>
      </c>
      <c r="P40" s="7">
        <f t="shared" si="5"/>
        <v>0</v>
      </c>
      <c r="Q40" s="7">
        <f t="shared" si="6"/>
        <v>0</v>
      </c>
      <c r="R40" s="8">
        <v>0.0</v>
      </c>
      <c r="S40" s="8">
        <v>0.0</v>
      </c>
      <c r="T40" s="9">
        <f t="shared" si="7"/>
        <v>0</v>
      </c>
      <c r="U40" s="10"/>
      <c r="V40" s="9"/>
      <c r="W40" s="10"/>
      <c r="X40" s="13"/>
      <c r="Y40" s="14" t="s">
        <v>122</v>
      </c>
    </row>
    <row r="41" ht="31.5" customHeight="1">
      <c r="A41" s="12">
        <v>46044.0</v>
      </c>
      <c r="B41" s="12">
        <v>46044.0</v>
      </c>
      <c r="C41" s="6" t="s">
        <v>46</v>
      </c>
      <c r="D41" s="6" t="str">
        <f t="shared" si="1"/>
        <v>Officer_Meeting_46044</v>
      </c>
      <c r="E41" s="6" t="s">
        <v>47</v>
      </c>
      <c r="F41" s="6" t="s">
        <v>48</v>
      </c>
      <c r="G41" s="6" t="s">
        <v>125</v>
      </c>
      <c r="H41" s="6" t="str">
        <f>IFERROR(__xludf.DUMMYFUNCTION("IFERROR(TEXTJOIN("", "", TRUE, FILTER(SPLIT(G41, "",""), ISERROR(MATCH(TRIM(SPLIT(G41, "","")), 'Master Roster'!C:C, 0)))), ""NONE"")"),"NONE")</f>
        <v>NONE</v>
      </c>
      <c r="I41" s="6">
        <f>IFERROR(__xludf.DUMMYFUNCTION("IF($G41="""", 0, COUNTA(SPLIT($G41, "","")))"),5.0)</f>
        <v>5</v>
      </c>
      <c r="K41" s="7">
        <f t="shared" si="2"/>
        <v>5</v>
      </c>
      <c r="L41" s="6" t="s">
        <v>50</v>
      </c>
      <c r="M41" s="6">
        <v>0.75</v>
      </c>
      <c r="N41" s="7">
        <f t="shared" si="3"/>
        <v>0</v>
      </c>
      <c r="O41" s="7">
        <f t="shared" si="4"/>
        <v>0</v>
      </c>
      <c r="P41" s="7">
        <f t="shared" si="5"/>
        <v>0</v>
      </c>
      <c r="Q41" s="7">
        <f t="shared" si="6"/>
        <v>3.75</v>
      </c>
      <c r="R41" s="8">
        <v>0.0</v>
      </c>
      <c r="S41" s="8">
        <v>0.0</v>
      </c>
      <c r="T41" s="9">
        <f t="shared" si="7"/>
        <v>0</v>
      </c>
      <c r="U41" s="10"/>
      <c r="V41" s="9"/>
      <c r="W41" s="10"/>
      <c r="X41" s="13"/>
      <c r="Y41" s="13"/>
    </row>
    <row r="42" ht="31.5" customHeight="1">
      <c r="A42" s="11">
        <v>46046.0</v>
      </c>
      <c r="B42" s="12">
        <v>46046.0</v>
      </c>
      <c r="C42" s="6" t="s">
        <v>32</v>
      </c>
      <c r="D42" s="6" t="str">
        <f t="shared" si="1"/>
        <v>Walk_for_Life_46046</v>
      </c>
      <c r="E42" s="6" t="s">
        <v>32</v>
      </c>
      <c r="F42" s="6" t="s">
        <v>121</v>
      </c>
      <c r="H42" s="6" t="str">
        <f>IFERROR(__xludf.DUMMYFUNCTION("IFERROR(TEXTJOIN("", "", TRUE, FILTER(SPLIT(G42, "",""), ISERROR(MATCH(TRIM(SPLIT(G42, "","")), 'Master Roster'!C:C, 0)))), ""NONE"")"),"NONE")</f>
        <v>NONE</v>
      </c>
      <c r="I42" s="6">
        <f>IFERROR(__xludf.DUMMYFUNCTION("IF($G42="""", 0, COUNTA(SPLIT($G42, "","")))"),0.0)</f>
        <v>0</v>
      </c>
      <c r="K42" s="7">
        <f t="shared" si="2"/>
        <v>0</v>
      </c>
      <c r="L42" s="6" t="s">
        <v>29</v>
      </c>
      <c r="N42" s="7">
        <f t="shared" si="3"/>
        <v>0</v>
      </c>
      <c r="O42" s="7">
        <f t="shared" si="4"/>
        <v>0</v>
      </c>
      <c r="P42" s="7">
        <f t="shared" si="5"/>
        <v>0</v>
      </c>
      <c r="Q42" s="7">
        <f t="shared" si="6"/>
        <v>0</v>
      </c>
      <c r="R42" s="8">
        <v>0.0</v>
      </c>
      <c r="S42" s="8">
        <v>0.0</v>
      </c>
      <c r="T42" s="9">
        <f t="shared" si="7"/>
        <v>0</v>
      </c>
      <c r="U42" s="10"/>
      <c r="V42" s="9"/>
      <c r="W42" s="10"/>
      <c r="X42" s="13"/>
      <c r="Y42" s="13"/>
    </row>
    <row r="43" ht="31.5" customHeight="1">
      <c r="A43" s="5">
        <v>46047.0</v>
      </c>
      <c r="B43" s="5">
        <v>46047.0</v>
      </c>
      <c r="C43" s="6" t="s">
        <v>80</v>
      </c>
      <c r="D43" s="6" t="str">
        <f t="shared" si="1"/>
        <v>Coffee_&amp;_Donuts_46047</v>
      </c>
      <c r="E43" s="6" t="s">
        <v>81</v>
      </c>
      <c r="F43" s="6" t="s">
        <v>42</v>
      </c>
      <c r="G43" s="6" t="s">
        <v>126</v>
      </c>
      <c r="H43" s="6" t="str">
        <f>IFERROR(__xludf.DUMMYFUNCTION("IFERROR(TEXTJOIN("", "", TRUE, FILTER(SPLIT(G43, "",""), ISERROR(MATCH(TRIM(SPLIT(G43, "","")), 'Master Roster'!C:C, 0)))), ""NONE"")"),"NONE")</f>
        <v>NONE</v>
      </c>
      <c r="I43" s="6">
        <f>IFERROR(__xludf.DUMMYFUNCTION("IF($G43="""", 0, COUNTA(SPLIT($G43, "","")))"),4.0)</f>
        <v>4</v>
      </c>
      <c r="K43" s="7">
        <f t="shared" si="2"/>
        <v>4</v>
      </c>
      <c r="L43" s="6" t="s">
        <v>29</v>
      </c>
      <c r="M43" s="6">
        <v>2.0</v>
      </c>
      <c r="N43" s="7">
        <f t="shared" si="3"/>
        <v>8</v>
      </c>
      <c r="O43" s="7">
        <f t="shared" si="4"/>
        <v>0</v>
      </c>
      <c r="P43" s="7">
        <f t="shared" si="5"/>
        <v>0</v>
      </c>
      <c r="Q43" s="7">
        <f t="shared" si="6"/>
        <v>0</v>
      </c>
      <c r="R43" s="8">
        <v>0.0</v>
      </c>
      <c r="S43" s="8">
        <v>0.0</v>
      </c>
      <c r="T43" s="9">
        <f t="shared" si="7"/>
        <v>0</v>
      </c>
      <c r="U43" s="10"/>
      <c r="V43" s="9"/>
      <c r="W43" s="10">
        <v>102.0</v>
      </c>
      <c r="X43" s="13"/>
      <c r="Y43" s="14" t="s">
        <v>127</v>
      </c>
    </row>
    <row r="44" ht="31.5" customHeight="1">
      <c r="D44" s="6" t="str">
        <f t="shared" si="1"/>
        <v/>
      </c>
      <c r="H44" s="6" t="str">
        <f>IFERROR(__xludf.DUMMYFUNCTION("IFERROR(TEXTJOIN("", "", TRUE, FILTER(SPLIT(G44, "",""), ISERROR(MATCH(TRIM(SPLIT(G44, "","")), 'Master Roster'!C:C, 0)))), ""NONE"")"),"NONE")</f>
        <v>NONE</v>
      </c>
      <c r="I44" s="6">
        <f>IFERROR(__xludf.DUMMYFUNCTION("IF($G44="""", 0, COUNTA(SPLIT($G44, "","")))"),0.0)</f>
        <v>0</v>
      </c>
      <c r="K44" s="7">
        <f t="shared" si="2"/>
        <v>0</v>
      </c>
      <c r="N44" s="7">
        <f t="shared" si="3"/>
        <v>0</v>
      </c>
      <c r="O44" s="7">
        <f t="shared" si="4"/>
        <v>0</v>
      </c>
      <c r="P44" s="7">
        <f t="shared" si="5"/>
        <v>0</v>
      </c>
      <c r="Q44" s="7">
        <f t="shared" si="6"/>
        <v>0</v>
      </c>
      <c r="R44" s="15"/>
      <c r="S44" s="15"/>
      <c r="T44" s="9">
        <f t="shared" si="7"/>
        <v>0</v>
      </c>
      <c r="U44" s="10"/>
      <c r="V44" s="9"/>
      <c r="W44" s="10"/>
      <c r="X44" s="13"/>
      <c r="Y44" s="13"/>
    </row>
    <row r="45" ht="31.5" customHeight="1">
      <c r="D45" s="6" t="str">
        <f t="shared" si="1"/>
        <v/>
      </c>
      <c r="H45" s="6" t="str">
        <f>IFERROR(__xludf.DUMMYFUNCTION("IFERROR(TEXTJOIN("", "", TRUE, FILTER(SPLIT(G45, "",""), ISERROR(MATCH(TRIM(SPLIT(G45, "","")), 'Master Roster'!C:C, 0)))), ""NONE"")"),"NONE")</f>
        <v>NONE</v>
      </c>
      <c r="I45" s="6">
        <f>IFERROR(__xludf.DUMMYFUNCTION("IF($G45="""", 0, COUNTA(SPLIT($G45, "","")))"),0.0)</f>
        <v>0</v>
      </c>
      <c r="K45" s="7">
        <f t="shared" si="2"/>
        <v>0</v>
      </c>
      <c r="N45" s="7">
        <f t="shared" si="3"/>
        <v>0</v>
      </c>
      <c r="O45" s="7">
        <f t="shared" si="4"/>
        <v>0</v>
      </c>
      <c r="P45" s="7">
        <f t="shared" si="5"/>
        <v>0</v>
      </c>
      <c r="Q45" s="7">
        <f t="shared" si="6"/>
        <v>0</v>
      </c>
      <c r="R45" s="15"/>
      <c r="S45" s="15"/>
      <c r="T45" s="9">
        <f t="shared" si="7"/>
        <v>0</v>
      </c>
      <c r="U45" s="10"/>
      <c r="V45" s="9"/>
      <c r="W45" s="10"/>
      <c r="X45" s="13"/>
      <c r="Y45" s="13"/>
    </row>
    <row r="46" ht="31.5" customHeight="1">
      <c r="D46" s="6" t="str">
        <f t="shared" si="1"/>
        <v/>
      </c>
      <c r="H46" s="6" t="str">
        <f>IFERROR(__xludf.DUMMYFUNCTION("IFERROR(TEXTJOIN("", "", TRUE, FILTER(SPLIT(G46, "",""), ISERROR(MATCH(TRIM(SPLIT(G46, "","")), 'Master Roster'!C:C, 0)))), ""NONE"")"),"NONE")</f>
        <v>NONE</v>
      </c>
      <c r="I46" s="6">
        <f>IFERROR(__xludf.DUMMYFUNCTION("IF($G46="""", 0, COUNTA(SPLIT($G46, "","")))"),0.0)</f>
        <v>0</v>
      </c>
      <c r="K46" s="7">
        <f t="shared" si="2"/>
        <v>0</v>
      </c>
      <c r="N46" s="7">
        <f t="shared" si="3"/>
        <v>0</v>
      </c>
      <c r="O46" s="7">
        <f t="shared" si="4"/>
        <v>0</v>
      </c>
      <c r="P46" s="7">
        <f t="shared" si="5"/>
        <v>0</v>
      </c>
      <c r="Q46" s="7">
        <f t="shared" si="6"/>
        <v>0</v>
      </c>
      <c r="R46" s="15"/>
      <c r="S46" s="15"/>
      <c r="T46" s="9">
        <f t="shared" si="7"/>
        <v>0</v>
      </c>
      <c r="U46" s="10"/>
      <c r="V46" s="9"/>
      <c r="W46" s="10"/>
      <c r="X46" s="13"/>
      <c r="Y46" s="13"/>
    </row>
    <row r="47" ht="31.5" customHeight="1">
      <c r="D47" s="6" t="str">
        <f t="shared" si="1"/>
        <v/>
      </c>
      <c r="H47" s="6" t="str">
        <f>IFERROR(__xludf.DUMMYFUNCTION("IFERROR(TEXTJOIN("", "", TRUE, FILTER(SPLIT(G47, "",""), ISERROR(MATCH(TRIM(SPLIT(G47, "","")), 'Master Roster'!C:C, 0)))), ""NONE"")"),"NONE")</f>
        <v>NONE</v>
      </c>
      <c r="I47" s="6">
        <f>IFERROR(__xludf.DUMMYFUNCTION("IF($G47="""", 0, COUNTA(SPLIT($G47, "","")))"),0.0)</f>
        <v>0</v>
      </c>
      <c r="K47" s="7">
        <f t="shared" si="2"/>
        <v>0</v>
      </c>
      <c r="N47" s="7">
        <f t="shared" si="3"/>
        <v>0</v>
      </c>
      <c r="O47" s="7">
        <f t="shared" si="4"/>
        <v>0</v>
      </c>
      <c r="P47" s="7">
        <f t="shared" si="5"/>
        <v>0</v>
      </c>
      <c r="Q47" s="7">
        <f t="shared" si="6"/>
        <v>0</v>
      </c>
      <c r="R47" s="15"/>
      <c r="S47" s="15"/>
      <c r="T47" s="9">
        <f t="shared" si="7"/>
        <v>0</v>
      </c>
      <c r="U47" s="10"/>
      <c r="V47" s="9"/>
      <c r="W47" s="10"/>
      <c r="X47" s="13"/>
      <c r="Y47" s="13"/>
    </row>
    <row r="48" ht="31.5" customHeight="1">
      <c r="D48" s="6" t="str">
        <f t="shared" si="1"/>
        <v/>
      </c>
      <c r="H48" s="6" t="str">
        <f>IFERROR(__xludf.DUMMYFUNCTION("IFERROR(TEXTJOIN("", "", TRUE, FILTER(SPLIT(G48, "",""), ISERROR(MATCH(TRIM(SPLIT(G48, "","")), 'Master Roster'!C:C, 0)))), ""NONE"")"),"NONE")</f>
        <v>NONE</v>
      </c>
      <c r="I48" s="6">
        <f>IFERROR(__xludf.DUMMYFUNCTION("IF($G48="""", 0, COUNTA(SPLIT($G48, "","")))"),0.0)</f>
        <v>0</v>
      </c>
      <c r="K48" s="7">
        <f t="shared" si="2"/>
        <v>0</v>
      </c>
      <c r="N48" s="7">
        <f t="shared" si="3"/>
        <v>0</v>
      </c>
      <c r="O48" s="7">
        <f t="shared" si="4"/>
        <v>0</v>
      </c>
      <c r="P48" s="7">
        <f t="shared" si="5"/>
        <v>0</v>
      </c>
      <c r="Q48" s="7">
        <f t="shared" si="6"/>
        <v>0</v>
      </c>
      <c r="R48" s="15"/>
      <c r="S48" s="15"/>
      <c r="T48" s="9">
        <f t="shared" si="7"/>
        <v>0</v>
      </c>
      <c r="U48" s="10"/>
      <c r="V48" s="9"/>
      <c r="W48" s="10"/>
      <c r="X48" s="13"/>
      <c r="Y48" s="13"/>
    </row>
    <row r="49" ht="31.5" customHeight="1">
      <c r="D49" s="6" t="str">
        <f t="shared" si="1"/>
        <v/>
      </c>
      <c r="H49" s="6" t="str">
        <f>IFERROR(__xludf.DUMMYFUNCTION("IFERROR(TEXTJOIN("", "", TRUE, FILTER(SPLIT(G49, "",""), ISERROR(MATCH(TRIM(SPLIT(G49, "","")), 'Master Roster'!C:C, 0)))), ""NONE"")"),"NONE")</f>
        <v>NONE</v>
      </c>
      <c r="I49" s="6">
        <f>IFERROR(__xludf.DUMMYFUNCTION("IF($G49="""", 0, COUNTA(SPLIT($G49, "","")))"),0.0)</f>
        <v>0</v>
      </c>
      <c r="K49" s="7">
        <f t="shared" si="2"/>
        <v>0</v>
      </c>
      <c r="N49" s="7">
        <f t="shared" si="3"/>
        <v>0</v>
      </c>
      <c r="O49" s="7">
        <f t="shared" si="4"/>
        <v>0</v>
      </c>
      <c r="P49" s="7">
        <f t="shared" si="5"/>
        <v>0</v>
      </c>
      <c r="Q49" s="7">
        <f t="shared" si="6"/>
        <v>0</v>
      </c>
      <c r="R49" s="15"/>
      <c r="S49" s="15"/>
      <c r="T49" s="9">
        <f t="shared" si="7"/>
        <v>0</v>
      </c>
      <c r="U49" s="10"/>
      <c r="V49" s="9"/>
      <c r="W49" s="10"/>
      <c r="X49" s="13"/>
      <c r="Y49" s="13"/>
    </row>
    <row r="50" ht="31.5" customHeight="1">
      <c r="D50" s="6" t="str">
        <f t="shared" si="1"/>
        <v/>
      </c>
      <c r="H50" s="6" t="str">
        <f>IFERROR(__xludf.DUMMYFUNCTION("IFERROR(TEXTJOIN("", "", TRUE, FILTER(SPLIT(G50, "",""), ISERROR(MATCH(TRIM(SPLIT(G50, "","")), 'Master Roster'!C:C, 0)))), ""NONE"")"),"NONE")</f>
        <v>NONE</v>
      </c>
      <c r="I50" s="6">
        <f>IFERROR(__xludf.DUMMYFUNCTION("IF($G50="""", 0, COUNTA(SPLIT($G50, "","")))"),0.0)</f>
        <v>0</v>
      </c>
      <c r="K50" s="7">
        <f t="shared" si="2"/>
        <v>0</v>
      </c>
      <c r="N50" s="7">
        <f t="shared" si="3"/>
        <v>0</v>
      </c>
      <c r="O50" s="7">
        <f t="shared" si="4"/>
        <v>0</v>
      </c>
      <c r="P50" s="7">
        <f t="shared" si="5"/>
        <v>0</v>
      </c>
      <c r="Q50" s="7">
        <f t="shared" si="6"/>
        <v>0</v>
      </c>
      <c r="R50" s="15"/>
      <c r="S50" s="15"/>
      <c r="T50" s="9">
        <f t="shared" si="7"/>
        <v>0</v>
      </c>
      <c r="U50" s="10"/>
      <c r="V50" s="9"/>
      <c r="W50" s="10"/>
      <c r="X50" s="13"/>
      <c r="Y50" s="13"/>
    </row>
    <row r="51" ht="31.5" customHeight="1">
      <c r="D51" s="6" t="str">
        <f t="shared" si="1"/>
        <v/>
      </c>
      <c r="H51" s="6" t="str">
        <f>IFERROR(__xludf.DUMMYFUNCTION("IFERROR(TEXTJOIN("", "", TRUE, FILTER(SPLIT(G51, "",""), ISERROR(MATCH(TRIM(SPLIT(G51, "","")), 'Master Roster'!C:C, 0)))), ""NONE"")"),"NONE")</f>
        <v>NONE</v>
      </c>
      <c r="I51" s="6">
        <f>IFERROR(__xludf.DUMMYFUNCTION("IF($G51="""", 0, COUNTA(SPLIT($G51, "","")))"),0.0)</f>
        <v>0</v>
      </c>
      <c r="K51" s="7">
        <f t="shared" si="2"/>
        <v>0</v>
      </c>
      <c r="N51" s="7">
        <f t="shared" si="3"/>
        <v>0</v>
      </c>
      <c r="O51" s="7">
        <f t="shared" si="4"/>
        <v>0</v>
      </c>
      <c r="P51" s="7">
        <f t="shared" si="5"/>
        <v>0</v>
      </c>
      <c r="Q51" s="7">
        <f t="shared" si="6"/>
        <v>0</v>
      </c>
      <c r="R51" s="15"/>
      <c r="S51" s="15"/>
      <c r="T51" s="9">
        <f t="shared" si="7"/>
        <v>0</v>
      </c>
      <c r="U51" s="10"/>
      <c r="V51" s="9"/>
      <c r="W51" s="10"/>
      <c r="X51" s="13"/>
      <c r="Y51" s="13"/>
    </row>
    <row r="52" ht="31.5" customHeight="1">
      <c r="D52" s="6" t="str">
        <f t="shared" si="1"/>
        <v/>
      </c>
      <c r="H52" s="6" t="str">
        <f>IFERROR(__xludf.DUMMYFUNCTION("IFERROR(TEXTJOIN("", "", TRUE, FILTER(SPLIT(G52, "",""), ISERROR(MATCH(TRIM(SPLIT(G52, "","")), 'Master Roster'!C:C, 0)))), ""NONE"")"),"NONE")</f>
        <v>NONE</v>
      </c>
      <c r="K52" s="7">
        <f t="shared" si="2"/>
        <v>0</v>
      </c>
      <c r="N52" s="7">
        <f t="shared" si="3"/>
        <v>0</v>
      </c>
      <c r="O52" s="7">
        <f t="shared" si="4"/>
        <v>0</v>
      </c>
      <c r="P52" s="7">
        <f t="shared" si="5"/>
        <v>0</v>
      </c>
      <c r="Q52" s="7">
        <f t="shared" si="6"/>
        <v>0</v>
      </c>
      <c r="R52" s="15"/>
      <c r="S52" s="15"/>
      <c r="T52" s="9">
        <f t="shared" si="7"/>
        <v>0</v>
      </c>
      <c r="U52" s="10"/>
      <c r="V52" s="9"/>
      <c r="W52" s="10"/>
      <c r="X52" s="13"/>
      <c r="Y52" s="13"/>
    </row>
    <row r="53" ht="31.5" customHeight="1">
      <c r="D53" s="6" t="str">
        <f t="shared" si="1"/>
        <v/>
      </c>
      <c r="H53" s="6" t="str">
        <f>IFERROR(__xludf.DUMMYFUNCTION("IFERROR(TEXTJOIN("", "", TRUE, FILTER(SPLIT(G53, "",""), ISERROR(MATCH(TRIM(SPLIT(G53, "","")), 'Master Roster'!C:C, 0)))), ""NONE"")"),"NONE")</f>
        <v>NONE</v>
      </c>
      <c r="K53" s="7">
        <f t="shared" si="2"/>
        <v>0</v>
      </c>
      <c r="N53" s="7">
        <f t="shared" si="3"/>
        <v>0</v>
      </c>
      <c r="O53" s="7">
        <f t="shared" si="4"/>
        <v>0</v>
      </c>
      <c r="P53" s="7">
        <f t="shared" si="5"/>
        <v>0</v>
      </c>
      <c r="Q53" s="7">
        <f t="shared" si="6"/>
        <v>0</v>
      </c>
      <c r="R53" s="15"/>
      <c r="S53" s="15"/>
      <c r="T53" s="9">
        <f t="shared" si="7"/>
        <v>0</v>
      </c>
      <c r="U53" s="10"/>
      <c r="V53" s="9"/>
      <c r="W53" s="10"/>
      <c r="X53" s="13"/>
      <c r="Y53" s="13"/>
    </row>
    <row r="54" ht="31.5" customHeight="1">
      <c r="D54" s="6" t="str">
        <f t="shared" si="1"/>
        <v/>
      </c>
      <c r="H54" s="6" t="str">
        <f>IFERROR(__xludf.DUMMYFUNCTION("IFERROR(TEXTJOIN("", "", TRUE, FILTER(SPLIT(G54, "",""), ISERROR(MATCH(TRIM(SPLIT(G54, "","")), 'Master Roster'!C:C, 0)))), ""NONE"")"),"NONE")</f>
        <v>NONE</v>
      </c>
      <c r="K54" s="7">
        <f t="shared" si="2"/>
        <v>0</v>
      </c>
      <c r="N54" s="7">
        <f t="shared" si="3"/>
        <v>0</v>
      </c>
      <c r="O54" s="7">
        <f t="shared" si="4"/>
        <v>0</v>
      </c>
      <c r="P54" s="7">
        <f t="shared" si="5"/>
        <v>0</v>
      </c>
      <c r="Q54" s="7">
        <f t="shared" si="6"/>
        <v>0</v>
      </c>
      <c r="R54" s="15"/>
      <c r="S54" s="15"/>
      <c r="T54" s="9">
        <f t="shared" si="7"/>
        <v>0</v>
      </c>
      <c r="U54" s="10"/>
      <c r="V54" s="9"/>
      <c r="W54" s="10"/>
      <c r="X54" s="13"/>
      <c r="Y54" s="13"/>
    </row>
    <row r="55" ht="31.5" customHeight="1">
      <c r="D55" s="6" t="str">
        <f t="shared" si="1"/>
        <v/>
      </c>
      <c r="H55" s="6" t="str">
        <f>IFERROR(__xludf.DUMMYFUNCTION("IFERROR(TEXTJOIN("", "", TRUE, FILTER(SPLIT(G55, "",""), ISERROR(MATCH(TRIM(SPLIT(G55, "","")), 'Master Roster'!C:C, 0)))), ""NONE"")"),"NONE")</f>
        <v>NONE</v>
      </c>
      <c r="K55" s="7">
        <f t="shared" si="2"/>
        <v>0</v>
      </c>
      <c r="N55" s="7">
        <f t="shared" si="3"/>
        <v>0</v>
      </c>
      <c r="O55" s="7">
        <f t="shared" si="4"/>
        <v>0</v>
      </c>
      <c r="P55" s="7">
        <f t="shared" si="5"/>
        <v>0</v>
      </c>
      <c r="Q55" s="7">
        <f t="shared" si="6"/>
        <v>0</v>
      </c>
      <c r="R55" s="15"/>
      <c r="S55" s="15"/>
      <c r="T55" s="9">
        <f t="shared" si="7"/>
        <v>0</v>
      </c>
      <c r="U55" s="10"/>
      <c r="V55" s="9"/>
      <c r="W55" s="10"/>
      <c r="X55" s="13"/>
      <c r="Y55" s="13"/>
    </row>
    <row r="56" ht="31.5" customHeight="1">
      <c r="D56" s="6" t="str">
        <f t="shared" si="1"/>
        <v/>
      </c>
      <c r="H56" s="6" t="str">
        <f>IFERROR(__xludf.DUMMYFUNCTION("IFERROR(TEXTJOIN("", "", TRUE, FILTER(SPLIT(G56, "",""), ISERROR(MATCH(TRIM(SPLIT(G56, "","")), 'Master Roster'!C:C, 0)))), ""NONE"")"),"NONE")</f>
        <v>NONE</v>
      </c>
      <c r="K56" s="7">
        <f t="shared" si="2"/>
        <v>0</v>
      </c>
      <c r="N56" s="7">
        <f t="shared" si="3"/>
        <v>0</v>
      </c>
      <c r="O56" s="7">
        <f t="shared" si="4"/>
        <v>0</v>
      </c>
      <c r="P56" s="7">
        <f t="shared" si="5"/>
        <v>0</v>
      </c>
      <c r="Q56" s="7">
        <f t="shared" si="6"/>
        <v>0</v>
      </c>
      <c r="R56" s="15"/>
      <c r="S56" s="15"/>
      <c r="T56" s="9">
        <f t="shared" si="7"/>
        <v>0</v>
      </c>
      <c r="U56" s="10"/>
      <c r="V56" s="9"/>
      <c r="W56" s="10"/>
      <c r="X56" s="13"/>
      <c r="Y56" s="13"/>
    </row>
    <row r="57" ht="31.5" customHeight="1">
      <c r="D57" s="6" t="str">
        <f t="shared" si="1"/>
        <v/>
      </c>
      <c r="H57" s="6" t="str">
        <f>IFERROR(__xludf.DUMMYFUNCTION("IFERROR(TEXTJOIN("", "", TRUE, FILTER(SPLIT(G57, "",""), ISERROR(MATCH(TRIM(SPLIT(G57, "","")), 'Master Roster'!C:C, 0)))), ""NONE"")"),"NONE")</f>
        <v>NONE</v>
      </c>
      <c r="K57" s="7">
        <f t="shared" si="2"/>
        <v>0</v>
      </c>
      <c r="N57" s="7">
        <f t="shared" si="3"/>
        <v>0</v>
      </c>
      <c r="O57" s="7">
        <f t="shared" si="4"/>
        <v>0</v>
      </c>
      <c r="P57" s="7">
        <f t="shared" si="5"/>
        <v>0</v>
      </c>
      <c r="Q57" s="7">
        <f t="shared" si="6"/>
        <v>0</v>
      </c>
      <c r="R57" s="15"/>
      <c r="S57" s="15"/>
      <c r="T57" s="9">
        <f t="shared" si="7"/>
        <v>0</v>
      </c>
      <c r="U57" s="10"/>
      <c r="V57" s="9"/>
      <c r="W57" s="10"/>
      <c r="X57" s="13"/>
      <c r="Y57" s="13"/>
    </row>
    <row r="58" ht="31.5" customHeight="1">
      <c r="D58" s="6" t="str">
        <f t="shared" si="1"/>
        <v/>
      </c>
      <c r="H58" s="6" t="str">
        <f>IFERROR(__xludf.DUMMYFUNCTION("IFERROR(TEXTJOIN("", "", TRUE, FILTER(SPLIT(G58, "",""), ISERROR(MATCH(TRIM(SPLIT(G58, "","")), 'Master Roster'!C:C, 0)))), ""NONE"")"),"NONE")</f>
        <v>NONE</v>
      </c>
      <c r="K58" s="7">
        <f t="shared" si="2"/>
        <v>0</v>
      </c>
      <c r="N58" s="7">
        <f t="shared" si="3"/>
        <v>0</v>
      </c>
      <c r="O58" s="7">
        <f t="shared" si="4"/>
        <v>0</v>
      </c>
      <c r="P58" s="7">
        <f t="shared" si="5"/>
        <v>0</v>
      </c>
      <c r="Q58" s="7">
        <f t="shared" si="6"/>
        <v>0</v>
      </c>
      <c r="R58" s="15"/>
      <c r="S58" s="15"/>
      <c r="T58" s="9">
        <f t="shared" si="7"/>
        <v>0</v>
      </c>
      <c r="U58" s="10"/>
      <c r="V58" s="9"/>
      <c r="W58" s="10"/>
      <c r="X58" s="13"/>
      <c r="Y58" s="13"/>
    </row>
    <row r="59" ht="31.5" customHeight="1">
      <c r="D59" s="6" t="str">
        <f t="shared" si="1"/>
        <v/>
      </c>
      <c r="H59" s="6" t="str">
        <f>IFERROR(__xludf.DUMMYFUNCTION("IFERROR(TEXTJOIN("", "", TRUE, FILTER(SPLIT(G59, "",""), ISERROR(MATCH(TRIM(SPLIT(G59, "","")), 'Master Roster'!C:C, 0)))), ""NONE"")"),"NONE")</f>
        <v>NONE</v>
      </c>
      <c r="K59" s="7">
        <f t="shared" si="2"/>
        <v>0</v>
      </c>
      <c r="N59" s="7">
        <f t="shared" si="3"/>
        <v>0</v>
      </c>
      <c r="O59" s="7">
        <f t="shared" si="4"/>
        <v>0</v>
      </c>
      <c r="P59" s="7">
        <f t="shared" si="5"/>
        <v>0</v>
      </c>
      <c r="Q59" s="7">
        <f t="shared" si="6"/>
        <v>0</v>
      </c>
      <c r="R59" s="15"/>
      <c r="S59" s="15"/>
      <c r="T59" s="9">
        <f t="shared" si="7"/>
        <v>0</v>
      </c>
      <c r="U59" s="10"/>
      <c r="V59" s="9"/>
      <c r="W59" s="10"/>
      <c r="X59" s="13"/>
      <c r="Y59" s="13"/>
    </row>
    <row r="60" ht="31.5" customHeight="1">
      <c r="D60" s="6" t="str">
        <f t="shared" si="1"/>
        <v/>
      </c>
      <c r="H60" s="6" t="str">
        <f>IFERROR(__xludf.DUMMYFUNCTION("IFERROR(TEXTJOIN("", "", TRUE, FILTER(SPLIT(G60, "",""), ISERROR(MATCH(TRIM(SPLIT(G60, "","")), 'Master Roster'!C:C, 0)))), ""NONE"")"),"NONE")</f>
        <v>NONE</v>
      </c>
      <c r="K60" s="7">
        <f t="shared" si="2"/>
        <v>0</v>
      </c>
      <c r="N60" s="7">
        <f t="shared" si="3"/>
        <v>0</v>
      </c>
      <c r="O60" s="7">
        <f t="shared" si="4"/>
        <v>0</v>
      </c>
      <c r="P60" s="7">
        <f t="shared" si="5"/>
        <v>0</v>
      </c>
      <c r="Q60" s="7">
        <f t="shared" si="6"/>
        <v>0</v>
      </c>
      <c r="R60" s="15"/>
      <c r="S60" s="15"/>
      <c r="T60" s="9">
        <f t="shared" si="7"/>
        <v>0</v>
      </c>
      <c r="U60" s="10"/>
      <c r="V60" s="9"/>
      <c r="W60" s="10"/>
      <c r="X60" s="13"/>
      <c r="Y60" s="13"/>
    </row>
    <row r="61" ht="31.5" customHeight="1">
      <c r="D61" s="6" t="str">
        <f t="shared" si="1"/>
        <v/>
      </c>
      <c r="H61" s="6" t="str">
        <f>IFERROR(__xludf.DUMMYFUNCTION("IFERROR(TEXTJOIN("", "", TRUE, FILTER(SPLIT(G61, "",""), ISERROR(MATCH(TRIM(SPLIT(G61, "","")), 'Master Roster'!C:C, 0)))), ""NONE"")"),"NONE")</f>
        <v>NONE</v>
      </c>
      <c r="K61" s="7">
        <f t="shared" si="2"/>
        <v>0</v>
      </c>
      <c r="N61" s="7">
        <f t="shared" si="3"/>
        <v>0</v>
      </c>
      <c r="O61" s="7">
        <f t="shared" si="4"/>
        <v>0</v>
      </c>
      <c r="P61" s="7">
        <f t="shared" si="5"/>
        <v>0</v>
      </c>
      <c r="Q61" s="7">
        <f t="shared" si="6"/>
        <v>0</v>
      </c>
      <c r="R61" s="15"/>
      <c r="S61" s="15"/>
      <c r="T61" s="9">
        <f t="shared" si="7"/>
        <v>0</v>
      </c>
      <c r="U61" s="10"/>
      <c r="V61" s="9"/>
      <c r="W61" s="10"/>
      <c r="X61" s="13"/>
      <c r="Y61" s="13"/>
    </row>
    <row r="62" ht="31.5" customHeight="1">
      <c r="D62" s="6" t="str">
        <f t="shared" si="1"/>
        <v/>
      </c>
      <c r="H62" s="6" t="str">
        <f>IFERROR(__xludf.DUMMYFUNCTION("IFERROR(TEXTJOIN("", "", TRUE, FILTER(SPLIT(G62, "",""), ISERROR(MATCH(TRIM(SPLIT(G62, "","")), 'Master Roster'!C:C, 0)))), ""NONE"")"),"NONE")</f>
        <v>NONE</v>
      </c>
      <c r="K62" s="7">
        <f t="shared" si="2"/>
        <v>0</v>
      </c>
      <c r="N62" s="7">
        <f t="shared" si="3"/>
        <v>0</v>
      </c>
      <c r="O62" s="7">
        <f t="shared" si="4"/>
        <v>0</v>
      </c>
      <c r="P62" s="7">
        <f t="shared" si="5"/>
        <v>0</v>
      </c>
      <c r="Q62" s="7">
        <f t="shared" si="6"/>
        <v>0</v>
      </c>
      <c r="R62" s="15"/>
      <c r="S62" s="15"/>
      <c r="T62" s="9">
        <f t="shared" si="7"/>
        <v>0</v>
      </c>
      <c r="U62" s="10"/>
      <c r="V62" s="9"/>
      <c r="W62" s="10"/>
      <c r="X62" s="13"/>
      <c r="Y62" s="13"/>
    </row>
    <row r="63" ht="31.5" customHeight="1">
      <c r="D63" s="6" t="str">
        <f t="shared" si="1"/>
        <v/>
      </c>
      <c r="H63" s="6" t="str">
        <f>IFERROR(__xludf.DUMMYFUNCTION("IFERROR(TEXTJOIN("", "", TRUE, FILTER(SPLIT(G63, "",""), ISERROR(MATCH(TRIM(SPLIT(G63, "","")), 'Master Roster'!C:C, 0)))), ""NONE"")"),"NONE")</f>
        <v>NONE</v>
      </c>
      <c r="K63" s="7">
        <f t="shared" si="2"/>
        <v>0</v>
      </c>
      <c r="N63" s="7">
        <f t="shared" si="3"/>
        <v>0</v>
      </c>
      <c r="O63" s="7">
        <f t="shared" si="4"/>
        <v>0</v>
      </c>
      <c r="P63" s="7">
        <f t="shared" si="5"/>
        <v>0</v>
      </c>
      <c r="Q63" s="7">
        <f t="shared" si="6"/>
        <v>0</v>
      </c>
      <c r="R63" s="15"/>
      <c r="S63" s="15"/>
      <c r="T63" s="9">
        <f t="shared" si="7"/>
        <v>0</v>
      </c>
      <c r="U63" s="10"/>
      <c r="V63" s="9"/>
      <c r="W63" s="10"/>
      <c r="X63" s="13"/>
      <c r="Y63" s="13"/>
    </row>
    <row r="64" ht="31.5" customHeight="1">
      <c r="D64" s="6" t="str">
        <f t="shared" si="1"/>
        <v/>
      </c>
      <c r="H64" s="6" t="str">
        <f>IFERROR(__xludf.DUMMYFUNCTION("IFERROR(TEXTJOIN("", "", TRUE, FILTER(SPLIT(G64, "",""), ISERROR(MATCH(TRIM(SPLIT(G64, "","")), 'Master Roster'!C:C, 0)))), ""NONE"")"),"NONE")</f>
        <v>NONE</v>
      </c>
      <c r="K64" s="7">
        <f t="shared" si="2"/>
        <v>0</v>
      </c>
      <c r="N64" s="7">
        <f t="shared" si="3"/>
        <v>0</v>
      </c>
      <c r="O64" s="7">
        <f t="shared" si="4"/>
        <v>0</v>
      </c>
      <c r="P64" s="7">
        <f t="shared" si="5"/>
        <v>0</v>
      </c>
      <c r="Q64" s="7">
        <f t="shared" si="6"/>
        <v>0</v>
      </c>
      <c r="R64" s="15"/>
      <c r="S64" s="15"/>
      <c r="T64" s="9">
        <f t="shared" si="7"/>
        <v>0</v>
      </c>
      <c r="U64" s="10"/>
      <c r="V64" s="9"/>
      <c r="W64" s="10"/>
      <c r="X64" s="13"/>
      <c r="Y64" s="13"/>
    </row>
    <row r="65" ht="31.5" customHeight="1">
      <c r="D65" s="6" t="str">
        <f t="shared" si="1"/>
        <v/>
      </c>
      <c r="H65" s="6" t="str">
        <f>IFERROR(__xludf.DUMMYFUNCTION("IFERROR(TEXTJOIN("", "", TRUE, FILTER(SPLIT(G65, "",""), ISERROR(MATCH(TRIM(SPLIT(G65, "","")), 'Master Roster'!C:C, 0)))), ""NONE"")"),"NONE")</f>
        <v>NONE</v>
      </c>
      <c r="K65" s="7">
        <f t="shared" si="2"/>
        <v>0</v>
      </c>
      <c r="N65" s="7">
        <f t="shared" si="3"/>
        <v>0</v>
      </c>
      <c r="O65" s="7">
        <f t="shared" si="4"/>
        <v>0</v>
      </c>
      <c r="P65" s="7">
        <f t="shared" si="5"/>
        <v>0</v>
      </c>
      <c r="Q65" s="7">
        <f t="shared" si="6"/>
        <v>0</v>
      </c>
      <c r="R65" s="15"/>
      <c r="S65" s="15"/>
      <c r="T65" s="9">
        <f t="shared" si="7"/>
        <v>0</v>
      </c>
      <c r="U65" s="10"/>
      <c r="V65" s="9"/>
      <c r="W65" s="10"/>
      <c r="X65" s="13"/>
      <c r="Y65" s="13"/>
    </row>
    <row r="66" ht="31.5" customHeight="1">
      <c r="D66" s="6" t="str">
        <f t="shared" si="1"/>
        <v/>
      </c>
      <c r="H66" s="6" t="str">
        <f>IFERROR(__xludf.DUMMYFUNCTION("IFERROR(TEXTJOIN("", "", TRUE, FILTER(SPLIT(G66, "",""), ISERROR(MATCH(TRIM(SPLIT(G66, "","")), 'Master Roster'!C:C, 0)))), ""NONE"")"),"NONE")</f>
        <v>NONE</v>
      </c>
      <c r="K66" s="7">
        <f t="shared" si="2"/>
        <v>0</v>
      </c>
      <c r="N66" s="7">
        <f t="shared" si="3"/>
        <v>0</v>
      </c>
      <c r="O66" s="7">
        <f t="shared" si="4"/>
        <v>0</v>
      </c>
      <c r="P66" s="7">
        <f t="shared" si="5"/>
        <v>0</v>
      </c>
      <c r="Q66" s="7">
        <f t="shared" si="6"/>
        <v>0</v>
      </c>
      <c r="R66" s="15"/>
      <c r="S66" s="15"/>
      <c r="T66" s="9">
        <f t="shared" si="7"/>
        <v>0</v>
      </c>
      <c r="U66" s="10"/>
      <c r="V66" s="9"/>
      <c r="W66" s="10"/>
      <c r="X66" s="13"/>
      <c r="Y66" s="13"/>
    </row>
    <row r="67" ht="31.5" customHeight="1">
      <c r="D67" s="6" t="str">
        <f t="shared" si="1"/>
        <v/>
      </c>
      <c r="H67" s="6" t="str">
        <f>IFERROR(__xludf.DUMMYFUNCTION("IFERROR(TEXTJOIN("", "", TRUE, FILTER(SPLIT(G67, "",""), ISERROR(MATCH(TRIM(SPLIT(G67, "","")), 'Master Roster'!C:C, 0)))), ""NONE"")"),"NONE")</f>
        <v>NONE</v>
      </c>
      <c r="K67" s="7">
        <f t="shared" si="2"/>
        <v>0</v>
      </c>
      <c r="N67" s="7">
        <f t="shared" si="3"/>
        <v>0</v>
      </c>
      <c r="O67" s="7">
        <f t="shared" si="4"/>
        <v>0</v>
      </c>
      <c r="P67" s="7">
        <f t="shared" si="5"/>
        <v>0</v>
      </c>
      <c r="Q67" s="7">
        <f t="shared" si="6"/>
        <v>0</v>
      </c>
      <c r="R67" s="15"/>
      <c r="S67" s="15"/>
      <c r="T67" s="9">
        <f t="shared" si="7"/>
        <v>0</v>
      </c>
      <c r="U67" s="10"/>
      <c r="V67" s="9"/>
      <c r="W67" s="10"/>
      <c r="X67" s="13"/>
      <c r="Y67" s="13"/>
    </row>
    <row r="68" ht="31.5" customHeight="1">
      <c r="D68" s="6" t="str">
        <f t="shared" si="1"/>
        <v/>
      </c>
      <c r="H68" s="6" t="str">
        <f>IFERROR(__xludf.DUMMYFUNCTION("IFERROR(TEXTJOIN("", "", TRUE, FILTER(SPLIT(G68, "",""), ISERROR(MATCH(TRIM(SPLIT(G68, "","")), 'Master Roster'!C:C, 0)))), ""NONE"")"),"NONE")</f>
        <v>NONE</v>
      </c>
      <c r="K68" s="7">
        <f t="shared" si="2"/>
        <v>0</v>
      </c>
      <c r="N68" s="7">
        <f t="shared" si="3"/>
        <v>0</v>
      </c>
      <c r="O68" s="7">
        <f t="shared" si="4"/>
        <v>0</v>
      </c>
      <c r="P68" s="7">
        <f t="shared" si="5"/>
        <v>0</v>
      </c>
      <c r="Q68" s="7">
        <f t="shared" si="6"/>
        <v>0</v>
      </c>
      <c r="R68" s="15"/>
      <c r="S68" s="15"/>
      <c r="T68" s="9">
        <f t="shared" si="7"/>
        <v>0</v>
      </c>
      <c r="U68" s="10"/>
      <c r="V68" s="9"/>
      <c r="W68" s="10"/>
      <c r="X68" s="13"/>
      <c r="Y68" s="13"/>
    </row>
    <row r="69" ht="31.5" customHeight="1">
      <c r="D69" s="6" t="str">
        <f t="shared" si="1"/>
        <v/>
      </c>
      <c r="H69" s="6" t="str">
        <f>IFERROR(__xludf.DUMMYFUNCTION("IFERROR(TEXTJOIN("", "", TRUE, FILTER(SPLIT(G69, "",""), ISERROR(MATCH(TRIM(SPLIT(G69, "","")), 'Master Roster'!C:C, 0)))), ""NONE"")"),"NONE")</f>
        <v>NONE</v>
      </c>
      <c r="K69" s="7">
        <f t="shared" si="2"/>
        <v>0</v>
      </c>
      <c r="N69" s="7">
        <f t="shared" si="3"/>
        <v>0</v>
      </c>
      <c r="O69" s="7">
        <f t="shared" si="4"/>
        <v>0</v>
      </c>
      <c r="P69" s="7">
        <f t="shared" si="5"/>
        <v>0</v>
      </c>
      <c r="Q69" s="7">
        <f t="shared" si="6"/>
        <v>0</v>
      </c>
      <c r="R69" s="15"/>
      <c r="S69" s="15"/>
      <c r="T69" s="9">
        <f t="shared" si="7"/>
        <v>0</v>
      </c>
      <c r="U69" s="10"/>
      <c r="V69" s="9"/>
      <c r="W69" s="10"/>
      <c r="X69" s="13"/>
      <c r="Y69" s="13"/>
    </row>
    <row r="70" ht="31.5" customHeight="1">
      <c r="D70" s="6" t="str">
        <f t="shared" si="1"/>
        <v/>
      </c>
      <c r="H70" s="6" t="str">
        <f>IFERROR(__xludf.DUMMYFUNCTION("IFERROR(TEXTJOIN("", "", TRUE, FILTER(SPLIT(G70, "",""), ISERROR(MATCH(TRIM(SPLIT(G70, "","")), 'Master Roster'!C:C, 0)))), ""NONE"")"),"NONE")</f>
        <v>NONE</v>
      </c>
      <c r="K70" s="7">
        <f t="shared" si="2"/>
        <v>0</v>
      </c>
      <c r="N70" s="7">
        <f t="shared" si="3"/>
        <v>0</v>
      </c>
      <c r="O70" s="7">
        <f t="shared" si="4"/>
        <v>0</v>
      </c>
      <c r="P70" s="7">
        <f t="shared" si="5"/>
        <v>0</v>
      </c>
      <c r="Q70" s="7">
        <f t="shared" si="6"/>
        <v>0</v>
      </c>
      <c r="R70" s="15"/>
      <c r="S70" s="15"/>
      <c r="T70" s="9">
        <f t="shared" si="7"/>
        <v>0</v>
      </c>
      <c r="U70" s="10"/>
      <c r="V70" s="9"/>
      <c r="W70" s="10"/>
      <c r="X70" s="13"/>
      <c r="Y70" s="13"/>
    </row>
    <row r="71" ht="31.5" customHeight="1">
      <c r="D71" s="6" t="str">
        <f t="shared" si="1"/>
        <v/>
      </c>
      <c r="H71" s="6" t="str">
        <f>IFERROR(__xludf.DUMMYFUNCTION("IFERROR(TEXTJOIN("", "", TRUE, FILTER(SPLIT(G71, "",""), ISERROR(MATCH(TRIM(SPLIT(G71, "","")), 'Master Roster'!C:C, 0)))), ""NONE"")"),"NONE")</f>
        <v>NONE</v>
      </c>
      <c r="K71" s="7">
        <f t="shared" si="2"/>
        <v>0</v>
      </c>
      <c r="N71" s="7">
        <f t="shared" si="3"/>
        <v>0</v>
      </c>
      <c r="O71" s="7">
        <f t="shared" si="4"/>
        <v>0</v>
      </c>
      <c r="P71" s="7">
        <f t="shared" si="5"/>
        <v>0</v>
      </c>
      <c r="Q71" s="7">
        <f t="shared" si="6"/>
        <v>0</v>
      </c>
      <c r="R71" s="15"/>
      <c r="S71" s="15"/>
      <c r="T71" s="9">
        <f t="shared" si="7"/>
        <v>0</v>
      </c>
      <c r="U71" s="10"/>
      <c r="V71" s="9"/>
      <c r="W71" s="10"/>
      <c r="X71" s="13"/>
      <c r="Y71" s="13"/>
    </row>
    <row r="72" ht="31.5" customHeight="1">
      <c r="D72" s="6" t="str">
        <f t="shared" si="1"/>
        <v/>
      </c>
      <c r="H72" s="6" t="str">
        <f>IFERROR(__xludf.DUMMYFUNCTION("IFERROR(TEXTJOIN("", "", TRUE, FILTER(SPLIT(G72, "",""), ISERROR(MATCH(TRIM(SPLIT(G72, "","")), 'Master Roster'!C:C, 0)))), ""NONE"")"),"NONE")</f>
        <v>NONE</v>
      </c>
      <c r="K72" s="7">
        <f t="shared" si="2"/>
        <v>0</v>
      </c>
      <c r="N72" s="7">
        <f t="shared" si="3"/>
        <v>0</v>
      </c>
      <c r="O72" s="7">
        <f t="shared" si="4"/>
        <v>0</v>
      </c>
      <c r="P72" s="7">
        <f t="shared" si="5"/>
        <v>0</v>
      </c>
      <c r="Q72" s="7">
        <f t="shared" si="6"/>
        <v>0</v>
      </c>
      <c r="R72" s="15"/>
      <c r="S72" s="15"/>
      <c r="T72" s="9">
        <f t="shared" si="7"/>
        <v>0</v>
      </c>
      <c r="U72" s="10"/>
      <c r="V72" s="9"/>
      <c r="W72" s="10"/>
      <c r="X72" s="13"/>
      <c r="Y72" s="13"/>
    </row>
    <row r="73" ht="31.5" customHeight="1">
      <c r="D73" s="6" t="str">
        <f t="shared" si="1"/>
        <v/>
      </c>
      <c r="H73" s="6" t="str">
        <f>IFERROR(__xludf.DUMMYFUNCTION("IFERROR(TEXTJOIN("", "", TRUE, FILTER(SPLIT(G73, "",""), ISERROR(MATCH(TRIM(SPLIT(G73, "","")), 'Master Roster'!C:C, 0)))), ""NONE"")"),"NONE")</f>
        <v>NONE</v>
      </c>
      <c r="K73" s="7">
        <f t="shared" si="2"/>
        <v>0</v>
      </c>
      <c r="N73" s="7">
        <f t="shared" si="3"/>
        <v>0</v>
      </c>
      <c r="O73" s="7">
        <f t="shared" si="4"/>
        <v>0</v>
      </c>
      <c r="P73" s="7">
        <f t="shared" si="5"/>
        <v>0</v>
      </c>
      <c r="Q73" s="7">
        <f t="shared" si="6"/>
        <v>0</v>
      </c>
      <c r="R73" s="15"/>
      <c r="S73" s="15"/>
      <c r="T73" s="9">
        <f t="shared" si="7"/>
        <v>0</v>
      </c>
      <c r="U73" s="10"/>
      <c r="V73" s="9"/>
      <c r="W73" s="10"/>
      <c r="X73" s="13"/>
      <c r="Y73" s="13"/>
    </row>
    <row r="74" ht="31.5" customHeight="1">
      <c r="D74" s="6" t="str">
        <f t="shared" si="1"/>
        <v/>
      </c>
      <c r="H74" s="6" t="str">
        <f>IFERROR(__xludf.DUMMYFUNCTION("IFERROR(TEXTJOIN("", "", TRUE, FILTER(SPLIT(G74, "",""), ISERROR(MATCH(TRIM(SPLIT(G74, "","")), 'Master Roster'!C:C, 0)))), ""NONE"")"),"NONE")</f>
        <v>NONE</v>
      </c>
      <c r="K74" s="7">
        <f t="shared" si="2"/>
        <v>0</v>
      </c>
      <c r="N74" s="7">
        <f t="shared" si="3"/>
        <v>0</v>
      </c>
      <c r="O74" s="7">
        <f t="shared" si="4"/>
        <v>0</v>
      </c>
      <c r="P74" s="7">
        <f t="shared" si="5"/>
        <v>0</v>
      </c>
      <c r="Q74" s="7">
        <f t="shared" si="6"/>
        <v>0</v>
      </c>
      <c r="R74" s="15"/>
      <c r="S74" s="15"/>
      <c r="T74" s="9">
        <f t="shared" si="7"/>
        <v>0</v>
      </c>
      <c r="U74" s="10"/>
      <c r="V74" s="9"/>
      <c r="W74" s="10"/>
      <c r="X74" s="13"/>
      <c r="Y74" s="13"/>
    </row>
    <row r="75" ht="31.5" customHeight="1">
      <c r="D75" s="6" t="str">
        <f t="shared" si="1"/>
        <v/>
      </c>
      <c r="H75" s="6" t="str">
        <f>IFERROR(__xludf.DUMMYFUNCTION("IFERROR(TEXTJOIN("", "", TRUE, FILTER(SPLIT(G75, "",""), ISERROR(MATCH(TRIM(SPLIT(G75, "","")), 'Master Roster'!C:C, 0)))), ""NONE"")"),"NONE")</f>
        <v>NONE</v>
      </c>
      <c r="K75" s="7">
        <f t="shared" si="2"/>
        <v>0</v>
      </c>
      <c r="N75" s="7">
        <f t="shared" si="3"/>
        <v>0</v>
      </c>
      <c r="O75" s="7">
        <f t="shared" si="4"/>
        <v>0</v>
      </c>
      <c r="P75" s="7">
        <f t="shared" si="5"/>
        <v>0</v>
      </c>
      <c r="Q75" s="7">
        <f t="shared" si="6"/>
        <v>0</v>
      </c>
      <c r="R75" s="15"/>
      <c r="S75" s="15"/>
      <c r="T75" s="9">
        <f t="shared" si="7"/>
        <v>0</v>
      </c>
      <c r="U75" s="10"/>
      <c r="V75" s="9"/>
      <c r="W75" s="10"/>
      <c r="X75" s="13"/>
      <c r="Y75" s="13"/>
    </row>
    <row r="76" ht="31.5" customHeight="1">
      <c r="D76" s="6" t="str">
        <f t="shared" si="1"/>
        <v/>
      </c>
      <c r="H76" s="6" t="str">
        <f>IFERROR(__xludf.DUMMYFUNCTION("IFERROR(TEXTJOIN("", "", TRUE, FILTER(SPLIT(G76, "",""), ISERROR(MATCH(TRIM(SPLIT(G76, "","")), 'Master Roster'!C:C, 0)))), ""NONE"")"),"NONE")</f>
        <v>NONE</v>
      </c>
      <c r="K76" s="7">
        <f t="shared" si="2"/>
        <v>0</v>
      </c>
      <c r="N76" s="7">
        <f t="shared" si="3"/>
        <v>0</v>
      </c>
      <c r="O76" s="7">
        <f t="shared" si="4"/>
        <v>0</v>
      </c>
      <c r="P76" s="7">
        <f t="shared" si="5"/>
        <v>0</v>
      </c>
      <c r="Q76" s="7">
        <f t="shared" si="6"/>
        <v>0</v>
      </c>
      <c r="R76" s="15"/>
      <c r="S76" s="15"/>
      <c r="T76" s="9">
        <f t="shared" si="7"/>
        <v>0</v>
      </c>
      <c r="U76" s="10"/>
      <c r="V76" s="9"/>
      <c r="W76" s="10"/>
      <c r="X76" s="13"/>
      <c r="Y76" s="13"/>
    </row>
    <row r="77" ht="31.5" customHeight="1">
      <c r="D77" s="6" t="str">
        <f t="shared" si="1"/>
        <v/>
      </c>
      <c r="H77" s="6" t="str">
        <f>IFERROR(__xludf.DUMMYFUNCTION("IFERROR(TEXTJOIN("", "", TRUE, FILTER(SPLIT(G77, "",""), ISERROR(MATCH(TRIM(SPLIT(G77, "","")), 'Master Roster'!C:C, 0)))), ""NONE"")"),"NONE")</f>
        <v>NONE</v>
      </c>
      <c r="K77" s="7">
        <f t="shared" si="2"/>
        <v>0</v>
      </c>
      <c r="N77" s="7">
        <f t="shared" si="3"/>
        <v>0</v>
      </c>
      <c r="O77" s="7">
        <f t="shared" si="4"/>
        <v>0</v>
      </c>
      <c r="P77" s="7">
        <f t="shared" si="5"/>
        <v>0</v>
      </c>
      <c r="Q77" s="7">
        <f t="shared" si="6"/>
        <v>0</v>
      </c>
      <c r="R77" s="15"/>
      <c r="S77" s="15"/>
      <c r="T77" s="9">
        <f t="shared" si="7"/>
        <v>0</v>
      </c>
      <c r="U77" s="10"/>
      <c r="V77" s="9"/>
      <c r="W77" s="10"/>
      <c r="X77" s="13"/>
      <c r="Y77" s="13"/>
    </row>
    <row r="78" ht="31.5" customHeight="1">
      <c r="D78" s="6" t="str">
        <f t="shared" si="1"/>
        <v/>
      </c>
      <c r="H78" s="6" t="str">
        <f>IFERROR(__xludf.DUMMYFUNCTION("IFERROR(TEXTJOIN("", "", TRUE, FILTER(SPLIT(G78, "",""), ISERROR(MATCH(TRIM(SPLIT(G78, "","")), 'Master Roster'!C:C, 0)))), ""NONE"")"),"NONE")</f>
        <v>NONE</v>
      </c>
      <c r="K78" s="7">
        <f t="shared" si="2"/>
        <v>0</v>
      </c>
      <c r="N78" s="7">
        <f t="shared" si="3"/>
        <v>0</v>
      </c>
      <c r="O78" s="7">
        <f t="shared" si="4"/>
        <v>0</v>
      </c>
      <c r="P78" s="7">
        <f t="shared" si="5"/>
        <v>0</v>
      </c>
      <c r="Q78" s="7">
        <f t="shared" si="6"/>
        <v>0</v>
      </c>
      <c r="R78" s="15"/>
      <c r="S78" s="15"/>
      <c r="T78" s="9">
        <f t="shared" si="7"/>
        <v>0</v>
      </c>
      <c r="U78" s="10"/>
      <c r="V78" s="9"/>
      <c r="W78" s="10"/>
      <c r="X78" s="13"/>
      <c r="Y78" s="13"/>
    </row>
    <row r="79" ht="31.5" customHeight="1">
      <c r="D79" s="6" t="str">
        <f t="shared" si="1"/>
        <v/>
      </c>
      <c r="H79" s="6" t="str">
        <f>IFERROR(__xludf.DUMMYFUNCTION("IFERROR(TEXTJOIN("", "", TRUE, FILTER(SPLIT(G79, "",""), ISERROR(MATCH(TRIM(SPLIT(G79, "","")), 'Master Roster'!C:C, 0)))), ""NONE"")"),"NONE")</f>
        <v>NONE</v>
      </c>
      <c r="K79" s="7">
        <f t="shared" si="2"/>
        <v>0</v>
      </c>
      <c r="N79" s="7">
        <f t="shared" si="3"/>
        <v>0</v>
      </c>
      <c r="O79" s="7">
        <f t="shared" si="4"/>
        <v>0</v>
      </c>
      <c r="P79" s="7">
        <f t="shared" si="5"/>
        <v>0</v>
      </c>
      <c r="Q79" s="7">
        <f t="shared" si="6"/>
        <v>0</v>
      </c>
      <c r="R79" s="15"/>
      <c r="S79" s="15"/>
      <c r="T79" s="9">
        <f t="shared" si="7"/>
        <v>0</v>
      </c>
      <c r="U79" s="10"/>
      <c r="V79" s="9"/>
      <c r="W79" s="10"/>
      <c r="X79" s="13"/>
      <c r="Y79" s="13"/>
    </row>
    <row r="80" ht="31.5" customHeight="1">
      <c r="D80" s="6" t="str">
        <f t="shared" si="1"/>
        <v/>
      </c>
      <c r="H80" s="6" t="str">
        <f>IFERROR(__xludf.DUMMYFUNCTION("IFERROR(TEXTJOIN("", "", TRUE, FILTER(SPLIT(G80, "",""), ISERROR(MATCH(TRIM(SPLIT(G80, "","")), 'Master Roster'!C:C, 0)))), ""NONE"")"),"NONE")</f>
        <v>NONE</v>
      </c>
      <c r="K80" s="7">
        <f t="shared" si="2"/>
        <v>0</v>
      </c>
      <c r="N80" s="7">
        <f t="shared" si="3"/>
        <v>0</v>
      </c>
      <c r="O80" s="7">
        <f t="shared" si="4"/>
        <v>0</v>
      </c>
      <c r="P80" s="7">
        <f t="shared" si="5"/>
        <v>0</v>
      </c>
      <c r="Q80" s="7">
        <f t="shared" si="6"/>
        <v>0</v>
      </c>
      <c r="R80" s="15"/>
      <c r="S80" s="15"/>
      <c r="T80" s="9">
        <f t="shared" si="7"/>
        <v>0</v>
      </c>
      <c r="U80" s="10"/>
      <c r="V80" s="9"/>
      <c r="W80" s="10"/>
      <c r="X80" s="13"/>
      <c r="Y80" s="13"/>
    </row>
    <row r="81" ht="31.5" customHeight="1">
      <c r="D81" s="6" t="str">
        <f t="shared" si="1"/>
        <v/>
      </c>
      <c r="H81" s="6" t="str">
        <f>IFERROR(__xludf.DUMMYFUNCTION("IFERROR(TEXTJOIN("", "", TRUE, FILTER(SPLIT(G81, "",""), ISERROR(MATCH(TRIM(SPLIT(G81, "","")), 'Master Roster'!C:C, 0)))), ""NONE"")"),"NONE")</f>
        <v>NONE</v>
      </c>
      <c r="K81" s="7">
        <f t="shared" si="2"/>
        <v>0</v>
      </c>
      <c r="N81" s="7">
        <f t="shared" si="3"/>
        <v>0</v>
      </c>
      <c r="O81" s="7">
        <f t="shared" si="4"/>
        <v>0</v>
      </c>
      <c r="P81" s="7">
        <f t="shared" si="5"/>
        <v>0</v>
      </c>
      <c r="Q81" s="7">
        <f t="shared" si="6"/>
        <v>0</v>
      </c>
      <c r="R81" s="15"/>
      <c r="S81" s="15"/>
      <c r="T81" s="9">
        <f t="shared" si="7"/>
        <v>0</v>
      </c>
      <c r="U81" s="10"/>
      <c r="V81" s="9"/>
      <c r="W81" s="10"/>
      <c r="X81" s="13"/>
      <c r="Y81" s="13"/>
    </row>
    <row r="82" ht="31.5" customHeight="1">
      <c r="D82" s="6" t="str">
        <f t="shared" si="1"/>
        <v/>
      </c>
      <c r="H82" s="6" t="str">
        <f>IFERROR(__xludf.DUMMYFUNCTION("IFERROR(TEXTJOIN("", "", TRUE, FILTER(SPLIT(G82, "",""), ISERROR(MATCH(TRIM(SPLIT(G82, "","")), 'Master Roster'!C:C, 0)))), ""NONE"")"),"NONE")</f>
        <v>NONE</v>
      </c>
      <c r="K82" s="7">
        <f t="shared" si="2"/>
        <v>0</v>
      </c>
      <c r="N82" s="7">
        <f t="shared" si="3"/>
        <v>0</v>
      </c>
      <c r="O82" s="7">
        <f t="shared" si="4"/>
        <v>0</v>
      </c>
      <c r="P82" s="7">
        <f t="shared" si="5"/>
        <v>0</v>
      </c>
      <c r="Q82" s="7">
        <f t="shared" si="6"/>
        <v>0</v>
      </c>
      <c r="R82" s="15"/>
      <c r="S82" s="15"/>
      <c r="T82" s="9">
        <f t="shared" si="7"/>
        <v>0</v>
      </c>
      <c r="U82" s="10"/>
      <c r="V82" s="9"/>
      <c r="W82" s="10"/>
      <c r="X82" s="13"/>
      <c r="Y82" s="13"/>
    </row>
    <row r="83" ht="31.5" customHeight="1">
      <c r="D83" s="6" t="str">
        <f t="shared" si="1"/>
        <v/>
      </c>
      <c r="H83" s="6" t="str">
        <f>IFERROR(__xludf.DUMMYFUNCTION("IFERROR(TEXTJOIN("", "", TRUE, FILTER(SPLIT(G83, "",""), ISERROR(MATCH(TRIM(SPLIT(G83, "","")), 'Master Roster'!C:C, 0)))), ""NONE"")"),"NONE")</f>
        <v>NONE</v>
      </c>
      <c r="K83" s="7">
        <f t="shared" si="2"/>
        <v>0</v>
      </c>
      <c r="N83" s="7">
        <f t="shared" si="3"/>
        <v>0</v>
      </c>
      <c r="O83" s="7">
        <f t="shared" si="4"/>
        <v>0</v>
      </c>
      <c r="P83" s="7">
        <f t="shared" si="5"/>
        <v>0</v>
      </c>
      <c r="Q83" s="7">
        <f t="shared" si="6"/>
        <v>0</v>
      </c>
      <c r="R83" s="15"/>
      <c r="S83" s="15"/>
      <c r="T83" s="9">
        <f t="shared" si="7"/>
        <v>0</v>
      </c>
      <c r="U83" s="10"/>
      <c r="V83" s="9"/>
      <c r="W83" s="10"/>
      <c r="X83" s="13"/>
      <c r="Y83" s="13"/>
    </row>
    <row r="84" ht="31.5" customHeight="1">
      <c r="D84" s="6" t="str">
        <f t="shared" si="1"/>
        <v/>
      </c>
      <c r="H84" s="6" t="str">
        <f>IFERROR(__xludf.DUMMYFUNCTION("IFERROR(TEXTJOIN("", "", TRUE, FILTER(SPLIT(G84, "",""), ISERROR(MATCH(TRIM(SPLIT(G84, "","")), 'Master Roster'!C:C, 0)))), ""NONE"")"),"NONE")</f>
        <v>NONE</v>
      </c>
      <c r="K84" s="7">
        <f t="shared" si="2"/>
        <v>0</v>
      </c>
      <c r="N84" s="7">
        <f t="shared" si="3"/>
        <v>0</v>
      </c>
      <c r="O84" s="7">
        <f t="shared" si="4"/>
        <v>0</v>
      </c>
      <c r="P84" s="7">
        <f t="shared" si="5"/>
        <v>0</v>
      </c>
      <c r="Q84" s="7">
        <f t="shared" si="6"/>
        <v>0</v>
      </c>
      <c r="R84" s="15"/>
      <c r="S84" s="15"/>
      <c r="T84" s="9">
        <f t="shared" si="7"/>
        <v>0</v>
      </c>
      <c r="U84" s="10"/>
      <c r="V84" s="9"/>
      <c r="W84" s="10"/>
      <c r="X84" s="13"/>
      <c r="Y84" s="13"/>
    </row>
    <row r="85" ht="31.5" customHeight="1">
      <c r="D85" s="6" t="str">
        <f t="shared" si="1"/>
        <v/>
      </c>
      <c r="H85" s="6" t="str">
        <f>IFERROR(__xludf.DUMMYFUNCTION("IFERROR(TEXTJOIN("", "", TRUE, FILTER(SPLIT(G85, "",""), ISERROR(MATCH(TRIM(SPLIT(G85, "","")), 'Master Roster'!C:C, 0)))), ""NONE"")"),"NONE")</f>
        <v>NONE</v>
      </c>
      <c r="K85" s="7">
        <f t="shared" si="2"/>
        <v>0</v>
      </c>
      <c r="N85" s="7">
        <f t="shared" si="3"/>
        <v>0</v>
      </c>
      <c r="O85" s="7">
        <f t="shared" si="4"/>
        <v>0</v>
      </c>
      <c r="P85" s="7">
        <f t="shared" si="5"/>
        <v>0</v>
      </c>
      <c r="Q85" s="7">
        <f t="shared" si="6"/>
        <v>0</v>
      </c>
      <c r="R85" s="15"/>
      <c r="S85" s="15"/>
      <c r="T85" s="9">
        <f t="shared" si="7"/>
        <v>0</v>
      </c>
      <c r="U85" s="10"/>
      <c r="V85" s="9"/>
      <c r="W85" s="10"/>
      <c r="X85" s="13"/>
      <c r="Y85" s="13"/>
    </row>
    <row r="86" ht="31.5" customHeight="1">
      <c r="D86" s="6" t="str">
        <f t="shared" si="1"/>
        <v/>
      </c>
      <c r="H86" s="6" t="str">
        <f>IFERROR(__xludf.DUMMYFUNCTION("IFERROR(TEXTJOIN("", "", TRUE, FILTER(SPLIT(G86, "",""), ISERROR(MATCH(TRIM(SPLIT(G86, "","")), 'Master Roster'!C:C, 0)))), ""NONE"")"),"NONE")</f>
        <v>NONE</v>
      </c>
      <c r="K86" s="7">
        <f t="shared" si="2"/>
        <v>0</v>
      </c>
      <c r="N86" s="7">
        <f t="shared" si="3"/>
        <v>0</v>
      </c>
      <c r="O86" s="7">
        <f t="shared" si="4"/>
        <v>0</v>
      </c>
      <c r="P86" s="7">
        <f t="shared" si="5"/>
        <v>0</v>
      </c>
      <c r="Q86" s="7">
        <f t="shared" si="6"/>
        <v>0</v>
      </c>
      <c r="R86" s="15"/>
      <c r="S86" s="15"/>
      <c r="T86" s="9">
        <f t="shared" si="7"/>
        <v>0</v>
      </c>
      <c r="U86" s="10"/>
      <c r="V86" s="9"/>
      <c r="W86" s="10"/>
      <c r="X86" s="13"/>
      <c r="Y86" s="13"/>
    </row>
    <row r="87" ht="31.5" customHeight="1">
      <c r="D87" s="6" t="str">
        <f t="shared" si="1"/>
        <v/>
      </c>
      <c r="H87" s="6" t="str">
        <f>IFERROR(__xludf.DUMMYFUNCTION("IFERROR(TEXTJOIN("", "", TRUE, FILTER(SPLIT(G87, "",""), ISERROR(MATCH(TRIM(SPLIT(G87, "","")), 'Master Roster'!C:C, 0)))), ""NONE"")"),"NONE")</f>
        <v>NONE</v>
      </c>
      <c r="K87" s="7">
        <f t="shared" si="2"/>
        <v>0</v>
      </c>
      <c r="N87" s="7">
        <f t="shared" si="3"/>
        <v>0</v>
      </c>
      <c r="O87" s="7">
        <f t="shared" si="4"/>
        <v>0</v>
      </c>
      <c r="P87" s="7">
        <f t="shared" si="5"/>
        <v>0</v>
      </c>
      <c r="Q87" s="7">
        <f t="shared" si="6"/>
        <v>0</v>
      </c>
      <c r="R87" s="15"/>
      <c r="S87" s="15"/>
      <c r="T87" s="9">
        <f t="shared" si="7"/>
        <v>0</v>
      </c>
      <c r="U87" s="10"/>
      <c r="V87" s="9"/>
      <c r="W87" s="10"/>
      <c r="X87" s="13"/>
      <c r="Y87" s="13"/>
    </row>
    <row r="88" ht="31.5" customHeight="1">
      <c r="D88" s="6" t="str">
        <f t="shared" si="1"/>
        <v/>
      </c>
      <c r="H88" s="6" t="str">
        <f>IFERROR(__xludf.DUMMYFUNCTION("IFERROR(TEXTJOIN("", "", TRUE, FILTER(SPLIT(G88, "",""), ISERROR(MATCH(TRIM(SPLIT(G88, "","")), 'Master Roster'!C:C, 0)))), ""NONE"")"),"NONE")</f>
        <v>NONE</v>
      </c>
      <c r="K88" s="7">
        <f t="shared" si="2"/>
        <v>0</v>
      </c>
      <c r="N88" s="7">
        <f t="shared" si="3"/>
        <v>0</v>
      </c>
      <c r="O88" s="7">
        <f t="shared" si="4"/>
        <v>0</v>
      </c>
      <c r="P88" s="7">
        <f t="shared" si="5"/>
        <v>0</v>
      </c>
      <c r="Q88" s="7">
        <f t="shared" si="6"/>
        <v>0</v>
      </c>
      <c r="R88" s="15"/>
      <c r="S88" s="15"/>
      <c r="T88" s="9">
        <f t="shared" si="7"/>
        <v>0</v>
      </c>
      <c r="U88" s="10"/>
      <c r="V88" s="9"/>
      <c r="W88" s="10"/>
      <c r="X88" s="13"/>
      <c r="Y88" s="13"/>
    </row>
    <row r="89" ht="31.5" customHeight="1">
      <c r="D89" s="6" t="str">
        <f t="shared" si="1"/>
        <v/>
      </c>
      <c r="H89" s="6" t="str">
        <f>IFERROR(__xludf.DUMMYFUNCTION("IFERROR(TEXTJOIN("", "", TRUE, FILTER(SPLIT(G89, "",""), ISERROR(MATCH(TRIM(SPLIT(G89, "","")), 'Master Roster'!C:C, 0)))), ""NONE"")"),"NONE")</f>
        <v>NONE</v>
      </c>
      <c r="K89" s="7">
        <f t="shared" si="2"/>
        <v>0</v>
      </c>
      <c r="N89" s="7">
        <f t="shared" si="3"/>
        <v>0</v>
      </c>
      <c r="O89" s="7">
        <f t="shared" si="4"/>
        <v>0</v>
      </c>
      <c r="P89" s="7">
        <f t="shared" si="5"/>
        <v>0</v>
      </c>
      <c r="Q89" s="7">
        <f t="shared" si="6"/>
        <v>0</v>
      </c>
      <c r="R89" s="15"/>
      <c r="S89" s="15"/>
      <c r="T89" s="9">
        <f t="shared" si="7"/>
        <v>0</v>
      </c>
      <c r="U89" s="10"/>
      <c r="V89" s="9"/>
      <c r="W89" s="10"/>
      <c r="X89" s="13"/>
      <c r="Y89" s="13"/>
    </row>
    <row r="90" ht="31.5" customHeight="1">
      <c r="D90" s="6" t="str">
        <f t="shared" si="1"/>
        <v/>
      </c>
      <c r="H90" s="6" t="str">
        <f>IFERROR(__xludf.DUMMYFUNCTION("IFERROR(TEXTJOIN("", "", TRUE, FILTER(SPLIT(G90, "",""), ISERROR(MATCH(TRIM(SPLIT(G90, "","")), 'Master Roster'!C:C, 0)))), ""NONE"")"),"NONE")</f>
        <v>NONE</v>
      </c>
      <c r="K90" s="7">
        <f t="shared" si="2"/>
        <v>0</v>
      </c>
      <c r="N90" s="7">
        <f t="shared" si="3"/>
        <v>0</v>
      </c>
      <c r="O90" s="7">
        <f t="shared" si="4"/>
        <v>0</v>
      </c>
      <c r="P90" s="7">
        <f t="shared" si="5"/>
        <v>0</v>
      </c>
      <c r="Q90" s="7">
        <f t="shared" si="6"/>
        <v>0</v>
      </c>
      <c r="R90" s="15"/>
      <c r="S90" s="15"/>
      <c r="T90" s="9">
        <f t="shared" si="7"/>
        <v>0</v>
      </c>
      <c r="U90" s="10"/>
      <c r="V90" s="9"/>
      <c r="W90" s="10"/>
      <c r="X90" s="13"/>
      <c r="Y90" s="13"/>
    </row>
    <row r="91" ht="31.5" customHeight="1">
      <c r="D91" s="6" t="str">
        <f t="shared" si="1"/>
        <v/>
      </c>
      <c r="H91" s="6" t="str">
        <f>IFERROR(__xludf.DUMMYFUNCTION("IFERROR(TEXTJOIN("", "", TRUE, FILTER(SPLIT(G91, "",""), ISERROR(MATCH(TRIM(SPLIT(G91, "","")), 'Master Roster'!C:C, 0)))), ""NONE"")"),"NONE")</f>
        <v>NONE</v>
      </c>
      <c r="K91" s="7">
        <f t="shared" si="2"/>
        <v>0</v>
      </c>
      <c r="N91" s="7">
        <f t="shared" si="3"/>
        <v>0</v>
      </c>
      <c r="O91" s="7">
        <f t="shared" si="4"/>
        <v>0</v>
      </c>
      <c r="P91" s="7">
        <f t="shared" si="5"/>
        <v>0</v>
      </c>
      <c r="Q91" s="7">
        <f t="shared" si="6"/>
        <v>0</v>
      </c>
      <c r="R91" s="15"/>
      <c r="S91" s="15"/>
      <c r="T91" s="9">
        <f t="shared" si="7"/>
        <v>0</v>
      </c>
      <c r="U91" s="10"/>
      <c r="V91" s="9"/>
      <c r="W91" s="10"/>
      <c r="X91" s="13"/>
      <c r="Y91" s="13"/>
    </row>
    <row r="92" ht="31.5" customHeight="1">
      <c r="D92" s="6" t="str">
        <f t="shared" si="1"/>
        <v/>
      </c>
      <c r="H92" s="6" t="str">
        <f>IFERROR(__xludf.DUMMYFUNCTION("IFERROR(TEXTJOIN("", "", TRUE, FILTER(SPLIT(G92, "",""), ISERROR(MATCH(TRIM(SPLIT(G92, "","")), 'Master Roster'!C:C, 0)))), ""NONE"")"),"NONE")</f>
        <v>NONE</v>
      </c>
      <c r="K92" s="7">
        <f t="shared" si="2"/>
        <v>0</v>
      </c>
      <c r="N92" s="7">
        <f t="shared" si="3"/>
        <v>0</v>
      </c>
      <c r="O92" s="7">
        <f t="shared" si="4"/>
        <v>0</v>
      </c>
      <c r="P92" s="7">
        <f t="shared" si="5"/>
        <v>0</v>
      </c>
      <c r="Q92" s="7">
        <f t="shared" si="6"/>
        <v>0</v>
      </c>
      <c r="R92" s="15"/>
      <c r="S92" s="15"/>
      <c r="T92" s="9">
        <f t="shared" si="7"/>
        <v>0</v>
      </c>
      <c r="U92" s="10"/>
      <c r="V92" s="9"/>
      <c r="W92" s="10"/>
      <c r="X92" s="13"/>
      <c r="Y92" s="13"/>
    </row>
    <row r="93" ht="31.5" customHeight="1">
      <c r="D93" s="6" t="str">
        <f t="shared" si="1"/>
        <v/>
      </c>
      <c r="H93" s="6" t="str">
        <f>IFERROR(__xludf.DUMMYFUNCTION("IFERROR(TEXTJOIN("", "", TRUE, FILTER(SPLIT(G93, "",""), ISERROR(MATCH(TRIM(SPLIT(G93, "","")), 'Master Roster'!C:C, 0)))), ""NONE"")"),"NONE")</f>
        <v>NONE</v>
      </c>
      <c r="K93" s="7">
        <f t="shared" si="2"/>
        <v>0</v>
      </c>
      <c r="N93" s="7">
        <f t="shared" si="3"/>
        <v>0</v>
      </c>
      <c r="O93" s="7">
        <f t="shared" si="4"/>
        <v>0</v>
      </c>
      <c r="P93" s="7">
        <f t="shared" si="5"/>
        <v>0</v>
      </c>
      <c r="Q93" s="7">
        <f t="shared" si="6"/>
        <v>0</v>
      </c>
      <c r="R93" s="15"/>
      <c r="S93" s="15"/>
      <c r="T93" s="9">
        <f t="shared" si="7"/>
        <v>0</v>
      </c>
      <c r="U93" s="10"/>
      <c r="V93" s="9"/>
      <c r="W93" s="10"/>
      <c r="X93" s="13"/>
      <c r="Y93" s="13"/>
    </row>
    <row r="94" ht="31.5" customHeight="1">
      <c r="D94" s="6" t="str">
        <f t="shared" si="1"/>
        <v/>
      </c>
      <c r="H94" s="6" t="str">
        <f>IFERROR(__xludf.DUMMYFUNCTION("IFERROR(TEXTJOIN("", "", TRUE, FILTER(SPLIT(G94, "",""), ISERROR(MATCH(TRIM(SPLIT(G94, "","")), 'Master Roster'!C:C, 0)))), ""NONE"")"),"NONE")</f>
        <v>NONE</v>
      </c>
      <c r="K94" s="7">
        <f t="shared" si="2"/>
        <v>0</v>
      </c>
      <c r="N94" s="7">
        <f t="shared" si="3"/>
        <v>0</v>
      </c>
      <c r="O94" s="7">
        <f t="shared" si="4"/>
        <v>0</v>
      </c>
      <c r="P94" s="7">
        <f t="shared" si="5"/>
        <v>0</v>
      </c>
      <c r="Q94" s="7">
        <f t="shared" si="6"/>
        <v>0</v>
      </c>
      <c r="R94" s="15"/>
      <c r="S94" s="15"/>
      <c r="T94" s="9">
        <f t="shared" si="7"/>
        <v>0</v>
      </c>
      <c r="U94" s="10"/>
      <c r="V94" s="9"/>
      <c r="W94" s="10"/>
      <c r="X94" s="13"/>
      <c r="Y94" s="13"/>
    </row>
    <row r="95" ht="31.5" customHeight="1">
      <c r="D95" s="6" t="str">
        <f t="shared" si="1"/>
        <v/>
      </c>
      <c r="H95" s="6" t="str">
        <f>IFERROR(__xludf.DUMMYFUNCTION("IFERROR(TEXTJOIN("", "", TRUE, FILTER(SPLIT(G95, "",""), ISERROR(MATCH(TRIM(SPLIT(G95, "","")), 'Master Roster'!C:C, 0)))), ""NONE"")"),"NONE")</f>
        <v>NONE</v>
      </c>
      <c r="K95" s="7">
        <f t="shared" si="2"/>
        <v>0</v>
      </c>
      <c r="N95" s="7">
        <f t="shared" si="3"/>
        <v>0</v>
      </c>
      <c r="O95" s="7">
        <f t="shared" si="4"/>
        <v>0</v>
      </c>
      <c r="P95" s="7">
        <f t="shared" si="5"/>
        <v>0</v>
      </c>
      <c r="Q95" s="7">
        <f t="shared" si="6"/>
        <v>0</v>
      </c>
      <c r="R95" s="15"/>
      <c r="S95" s="15"/>
      <c r="T95" s="9">
        <f t="shared" si="7"/>
        <v>0</v>
      </c>
      <c r="U95" s="10"/>
      <c r="V95" s="9"/>
      <c r="W95" s="10"/>
      <c r="X95" s="13"/>
      <c r="Y95" s="13"/>
    </row>
    <row r="96" ht="31.5" customHeight="1">
      <c r="D96" s="6" t="str">
        <f t="shared" si="1"/>
        <v/>
      </c>
      <c r="H96" s="6" t="str">
        <f>IFERROR(__xludf.DUMMYFUNCTION("IFERROR(TEXTJOIN("", "", TRUE, FILTER(SPLIT(G96, "",""), ISERROR(MATCH(TRIM(SPLIT(G96, "","")), 'Master Roster'!C:C, 0)))), ""NONE"")"),"NONE")</f>
        <v>NONE</v>
      </c>
      <c r="K96" s="7">
        <f t="shared" si="2"/>
        <v>0</v>
      </c>
      <c r="N96" s="7">
        <f t="shared" si="3"/>
        <v>0</v>
      </c>
      <c r="O96" s="7">
        <f t="shared" si="4"/>
        <v>0</v>
      </c>
      <c r="P96" s="7">
        <f t="shared" si="5"/>
        <v>0</v>
      </c>
      <c r="Q96" s="7">
        <f t="shared" si="6"/>
        <v>0</v>
      </c>
      <c r="R96" s="15"/>
      <c r="S96" s="15"/>
      <c r="T96" s="9">
        <f t="shared" si="7"/>
        <v>0</v>
      </c>
      <c r="U96" s="10"/>
      <c r="V96" s="9"/>
      <c r="W96" s="10"/>
      <c r="X96" s="13"/>
      <c r="Y96" s="13"/>
    </row>
    <row r="97" ht="31.5" customHeight="1">
      <c r="D97" s="6" t="str">
        <f t="shared" si="1"/>
        <v/>
      </c>
      <c r="H97" s="6" t="str">
        <f>IFERROR(__xludf.DUMMYFUNCTION("IFERROR(TEXTJOIN("", "", TRUE, FILTER(SPLIT(G97, "",""), ISERROR(MATCH(TRIM(SPLIT(G97, "","")), 'Master Roster'!C:C, 0)))), ""NONE"")"),"NONE")</f>
        <v>NONE</v>
      </c>
      <c r="K97" s="7">
        <f t="shared" si="2"/>
        <v>0</v>
      </c>
      <c r="N97" s="7">
        <f t="shared" si="3"/>
        <v>0</v>
      </c>
      <c r="O97" s="7">
        <f t="shared" si="4"/>
        <v>0</v>
      </c>
      <c r="P97" s="7">
        <f t="shared" si="5"/>
        <v>0</v>
      </c>
      <c r="Q97" s="7">
        <f t="shared" si="6"/>
        <v>0</v>
      </c>
      <c r="R97" s="15"/>
      <c r="S97" s="15"/>
      <c r="T97" s="9">
        <f t="shared" si="7"/>
        <v>0</v>
      </c>
      <c r="U97" s="10"/>
      <c r="V97" s="9"/>
      <c r="W97" s="10"/>
      <c r="X97" s="13"/>
      <c r="Y97" s="13"/>
    </row>
    <row r="98" ht="31.5" customHeight="1">
      <c r="D98" s="6" t="str">
        <f t="shared" si="1"/>
        <v/>
      </c>
      <c r="H98" s="6" t="str">
        <f>IFERROR(__xludf.DUMMYFUNCTION("IFERROR(TEXTJOIN("", "", TRUE, FILTER(SPLIT(G98, "",""), ISERROR(MATCH(TRIM(SPLIT(G98, "","")), 'Master Roster'!C:C, 0)))), ""NONE"")"),"NONE")</f>
        <v>NONE</v>
      </c>
      <c r="K98" s="7">
        <f t="shared" si="2"/>
        <v>0</v>
      </c>
      <c r="N98" s="7">
        <f t="shared" si="3"/>
        <v>0</v>
      </c>
      <c r="O98" s="7">
        <f t="shared" si="4"/>
        <v>0</v>
      </c>
      <c r="P98" s="7">
        <f t="shared" si="5"/>
        <v>0</v>
      </c>
      <c r="Q98" s="7">
        <f t="shared" si="6"/>
        <v>0</v>
      </c>
      <c r="R98" s="15"/>
      <c r="S98" s="15"/>
      <c r="T98" s="9">
        <f t="shared" si="7"/>
        <v>0</v>
      </c>
      <c r="U98" s="10"/>
      <c r="V98" s="9"/>
      <c r="W98" s="10"/>
      <c r="X98" s="13"/>
      <c r="Y98" s="13"/>
    </row>
    <row r="99" ht="31.5" customHeight="1">
      <c r="D99" s="6" t="str">
        <f t="shared" si="1"/>
        <v/>
      </c>
      <c r="H99" s="6" t="str">
        <f>IFERROR(__xludf.DUMMYFUNCTION("IFERROR(TEXTJOIN("", "", TRUE, FILTER(SPLIT(G99, "",""), ISERROR(MATCH(TRIM(SPLIT(G99, "","")), 'Master Roster'!C:C, 0)))), ""NONE"")"),"NONE")</f>
        <v>NONE</v>
      </c>
      <c r="K99" s="7">
        <f t="shared" si="2"/>
        <v>0</v>
      </c>
      <c r="N99" s="7">
        <f t="shared" si="3"/>
        <v>0</v>
      </c>
      <c r="O99" s="7">
        <f t="shared" si="4"/>
        <v>0</v>
      </c>
      <c r="P99" s="7">
        <f t="shared" si="5"/>
        <v>0</v>
      </c>
      <c r="Q99" s="7">
        <f t="shared" si="6"/>
        <v>0</v>
      </c>
      <c r="R99" s="15"/>
      <c r="S99" s="15"/>
      <c r="T99" s="9">
        <f t="shared" si="7"/>
        <v>0</v>
      </c>
      <c r="U99" s="10"/>
      <c r="V99" s="9"/>
      <c r="W99" s="10"/>
      <c r="X99" s="13"/>
      <c r="Y99" s="13"/>
    </row>
    <row r="100" ht="31.5" customHeight="1">
      <c r="D100" s="6" t="str">
        <f t="shared" si="1"/>
        <v/>
      </c>
      <c r="H100" s="6" t="str">
        <f>IFERROR(__xludf.DUMMYFUNCTION("IFERROR(TEXTJOIN("", "", TRUE, FILTER(SPLIT(G100, "",""), ISERROR(MATCH(TRIM(SPLIT(G100, "","")), 'Master Roster'!C:C, 0)))), ""NONE"")"),"NONE")</f>
        <v>NONE</v>
      </c>
      <c r="K100" s="7">
        <f t="shared" si="2"/>
        <v>0</v>
      </c>
      <c r="N100" s="7">
        <f t="shared" si="3"/>
        <v>0</v>
      </c>
      <c r="O100" s="7">
        <f t="shared" si="4"/>
        <v>0</v>
      </c>
      <c r="P100" s="7">
        <f t="shared" si="5"/>
        <v>0</v>
      </c>
      <c r="Q100" s="7">
        <f t="shared" si="6"/>
        <v>0</v>
      </c>
      <c r="R100" s="15"/>
      <c r="S100" s="15"/>
      <c r="T100" s="9">
        <f t="shared" si="7"/>
        <v>0</v>
      </c>
      <c r="U100" s="10"/>
      <c r="V100" s="9"/>
      <c r="W100" s="10"/>
      <c r="X100" s="13"/>
      <c r="Y100" s="13"/>
    </row>
    <row r="101" ht="31.5" customHeight="1">
      <c r="D101" s="6" t="str">
        <f t="shared" si="1"/>
        <v/>
      </c>
      <c r="H101" s="6" t="str">
        <f>IFERROR(__xludf.DUMMYFUNCTION("IFERROR(TEXTJOIN("", "", TRUE, FILTER(SPLIT(G101, "",""), ISERROR(MATCH(TRIM(SPLIT(G101, "","")), 'Master Roster'!C:C, 0)))), ""NONE"")"),"NONE")</f>
        <v>NONE</v>
      </c>
      <c r="K101" s="7">
        <f t="shared" si="2"/>
        <v>0</v>
      </c>
      <c r="N101" s="7">
        <f t="shared" si="3"/>
        <v>0</v>
      </c>
      <c r="O101" s="7">
        <f t="shared" si="4"/>
        <v>0</v>
      </c>
      <c r="P101" s="7">
        <f t="shared" si="5"/>
        <v>0</v>
      </c>
      <c r="Q101" s="7">
        <f t="shared" si="6"/>
        <v>0</v>
      </c>
      <c r="R101" s="15"/>
      <c r="S101" s="15"/>
      <c r="T101" s="9">
        <f t="shared" si="7"/>
        <v>0</v>
      </c>
      <c r="U101" s="10"/>
      <c r="V101" s="9"/>
      <c r="W101" s="10"/>
      <c r="X101" s="13"/>
      <c r="Y101" s="13"/>
    </row>
    <row r="102" ht="31.5" customHeight="1">
      <c r="D102" s="6" t="str">
        <f t="shared" si="1"/>
        <v/>
      </c>
      <c r="H102" s="7"/>
      <c r="K102" s="7">
        <f t="shared" si="2"/>
        <v>0</v>
      </c>
      <c r="N102" s="7">
        <f t="shared" si="3"/>
        <v>0</v>
      </c>
      <c r="O102" s="7">
        <f t="shared" si="4"/>
        <v>0</v>
      </c>
      <c r="P102" s="7">
        <f t="shared" si="5"/>
        <v>0</v>
      </c>
      <c r="Q102" s="7">
        <f t="shared" si="6"/>
        <v>0</v>
      </c>
      <c r="R102" s="15"/>
      <c r="S102" s="15"/>
      <c r="T102" s="9">
        <f t="shared" si="7"/>
        <v>0</v>
      </c>
      <c r="U102" s="10"/>
      <c r="V102" s="9"/>
      <c r="W102" s="10"/>
      <c r="X102" s="13"/>
      <c r="Y102" s="13"/>
    </row>
    <row r="103" ht="31.5" customHeight="1">
      <c r="D103" s="6" t="str">
        <f t="shared" si="1"/>
        <v/>
      </c>
      <c r="H103" s="7"/>
      <c r="K103" s="7">
        <f t="shared" si="2"/>
        <v>0</v>
      </c>
      <c r="N103" s="7">
        <f t="shared" si="3"/>
        <v>0</v>
      </c>
      <c r="O103" s="7">
        <f t="shared" si="4"/>
        <v>0</v>
      </c>
      <c r="P103" s="7">
        <f t="shared" si="5"/>
        <v>0</v>
      </c>
      <c r="Q103" s="7">
        <f t="shared" si="6"/>
        <v>0</v>
      </c>
      <c r="R103" s="15"/>
      <c r="S103" s="15"/>
      <c r="T103" s="9">
        <f t="shared" si="7"/>
        <v>0</v>
      </c>
      <c r="U103" s="10"/>
      <c r="V103" s="9"/>
      <c r="W103" s="10"/>
      <c r="X103" s="13"/>
      <c r="Y103" s="13"/>
    </row>
    <row r="104" ht="31.5" customHeight="1">
      <c r="D104" s="6" t="str">
        <f t="shared" si="1"/>
        <v/>
      </c>
      <c r="H104" s="7"/>
      <c r="K104" s="7">
        <f t="shared" si="2"/>
        <v>0</v>
      </c>
      <c r="N104" s="7">
        <f t="shared" si="3"/>
        <v>0</v>
      </c>
      <c r="O104" s="7">
        <f t="shared" si="4"/>
        <v>0</v>
      </c>
      <c r="P104" s="7">
        <f t="shared" si="5"/>
        <v>0</v>
      </c>
      <c r="Q104" s="7">
        <f t="shared" si="6"/>
        <v>0</v>
      </c>
      <c r="R104" s="15"/>
      <c r="S104" s="15"/>
      <c r="T104" s="9">
        <f t="shared" si="7"/>
        <v>0</v>
      </c>
      <c r="U104" s="10"/>
      <c r="V104" s="9"/>
      <c r="W104" s="10"/>
      <c r="X104" s="13"/>
      <c r="Y104" s="13"/>
    </row>
    <row r="105" ht="31.5" customHeight="1">
      <c r="D105" s="6" t="str">
        <f t="shared" si="1"/>
        <v/>
      </c>
      <c r="H105" s="7"/>
      <c r="K105" s="7">
        <f t="shared" si="2"/>
        <v>0</v>
      </c>
      <c r="N105" s="7">
        <f t="shared" si="3"/>
        <v>0</v>
      </c>
      <c r="O105" s="7">
        <f t="shared" si="4"/>
        <v>0</v>
      </c>
      <c r="P105" s="7">
        <f t="shared" si="5"/>
        <v>0</v>
      </c>
      <c r="Q105" s="7">
        <f t="shared" si="6"/>
        <v>0</v>
      </c>
      <c r="R105" s="15"/>
      <c r="S105" s="15"/>
      <c r="T105" s="9">
        <f t="shared" si="7"/>
        <v>0</v>
      </c>
      <c r="U105" s="10"/>
      <c r="V105" s="9"/>
      <c r="W105" s="10"/>
      <c r="X105" s="13"/>
      <c r="Y105" s="13"/>
    </row>
    <row r="106" ht="31.5" customHeight="1">
      <c r="D106" s="6" t="str">
        <f t="shared" si="1"/>
        <v/>
      </c>
      <c r="H106" s="7"/>
      <c r="K106" s="7">
        <f t="shared" si="2"/>
        <v>0</v>
      </c>
      <c r="N106" s="7">
        <f t="shared" si="3"/>
        <v>0</v>
      </c>
      <c r="O106" s="7">
        <f t="shared" si="4"/>
        <v>0</v>
      </c>
      <c r="P106" s="7">
        <f t="shared" si="5"/>
        <v>0</v>
      </c>
      <c r="Q106" s="7">
        <f t="shared" si="6"/>
        <v>0</v>
      </c>
      <c r="R106" s="15"/>
      <c r="S106" s="15"/>
      <c r="T106" s="9">
        <f t="shared" si="7"/>
        <v>0</v>
      </c>
      <c r="U106" s="10"/>
      <c r="V106" s="9"/>
      <c r="W106" s="10"/>
      <c r="X106" s="13"/>
      <c r="Y106" s="13"/>
    </row>
    <row r="107" ht="31.5" customHeight="1">
      <c r="D107" s="6" t="str">
        <f t="shared" si="1"/>
        <v/>
      </c>
      <c r="H107" s="7"/>
      <c r="K107" s="7">
        <f t="shared" si="2"/>
        <v>0</v>
      </c>
      <c r="N107" s="7">
        <f t="shared" si="3"/>
        <v>0</v>
      </c>
      <c r="O107" s="7">
        <f t="shared" si="4"/>
        <v>0</v>
      </c>
      <c r="P107" s="7">
        <f t="shared" si="5"/>
        <v>0</v>
      </c>
      <c r="Q107" s="7">
        <f t="shared" si="6"/>
        <v>0</v>
      </c>
      <c r="R107" s="15"/>
      <c r="S107" s="15"/>
      <c r="T107" s="9">
        <f t="shared" si="7"/>
        <v>0</v>
      </c>
      <c r="U107" s="10"/>
      <c r="V107" s="9"/>
      <c r="W107" s="10"/>
      <c r="X107" s="13"/>
      <c r="Y107" s="13"/>
    </row>
    <row r="108" ht="31.5" customHeight="1">
      <c r="D108" s="6" t="str">
        <f t="shared" si="1"/>
        <v/>
      </c>
      <c r="H108" s="7"/>
      <c r="K108" s="7">
        <f t="shared" si="2"/>
        <v>0</v>
      </c>
      <c r="N108" s="7">
        <f t="shared" si="3"/>
        <v>0</v>
      </c>
      <c r="O108" s="7">
        <f t="shared" si="4"/>
        <v>0</v>
      </c>
      <c r="P108" s="7">
        <f t="shared" si="5"/>
        <v>0</v>
      </c>
      <c r="Q108" s="7">
        <f t="shared" si="6"/>
        <v>0</v>
      </c>
      <c r="R108" s="15"/>
      <c r="S108" s="15"/>
      <c r="T108" s="9">
        <f t="shared" si="7"/>
        <v>0</v>
      </c>
      <c r="U108" s="10"/>
      <c r="V108" s="9"/>
      <c r="W108" s="10"/>
      <c r="X108" s="13"/>
      <c r="Y108" s="13"/>
    </row>
    <row r="109" ht="31.5" customHeight="1">
      <c r="D109" s="6" t="str">
        <f t="shared" si="1"/>
        <v/>
      </c>
      <c r="H109" s="7"/>
      <c r="K109" s="7">
        <f t="shared" si="2"/>
        <v>0</v>
      </c>
      <c r="N109" s="7">
        <f t="shared" si="3"/>
        <v>0</v>
      </c>
      <c r="O109" s="7">
        <f t="shared" si="4"/>
        <v>0</v>
      </c>
      <c r="P109" s="7">
        <f t="shared" si="5"/>
        <v>0</v>
      </c>
      <c r="Q109" s="7">
        <f t="shared" si="6"/>
        <v>0</v>
      </c>
      <c r="R109" s="15"/>
      <c r="S109" s="15"/>
      <c r="T109" s="9">
        <f t="shared" si="7"/>
        <v>0</v>
      </c>
      <c r="U109" s="10"/>
      <c r="V109" s="9"/>
      <c r="W109" s="10"/>
      <c r="X109" s="13"/>
      <c r="Y109" s="13"/>
    </row>
    <row r="110" ht="31.5" customHeight="1">
      <c r="D110" s="6" t="str">
        <f t="shared" si="1"/>
        <v/>
      </c>
      <c r="H110" s="7"/>
      <c r="K110" s="7">
        <f t="shared" si="2"/>
        <v>0</v>
      </c>
      <c r="N110" s="7">
        <f t="shared" si="3"/>
        <v>0</v>
      </c>
      <c r="O110" s="7">
        <f t="shared" si="4"/>
        <v>0</v>
      </c>
      <c r="P110" s="7">
        <f t="shared" si="5"/>
        <v>0</v>
      </c>
      <c r="Q110" s="7">
        <f t="shared" si="6"/>
        <v>0</v>
      </c>
      <c r="R110" s="15"/>
      <c r="S110" s="15"/>
      <c r="T110" s="9">
        <f t="shared" si="7"/>
        <v>0</v>
      </c>
      <c r="U110" s="10"/>
      <c r="V110" s="9"/>
      <c r="W110" s="10"/>
      <c r="X110" s="13"/>
      <c r="Y110" s="13"/>
    </row>
    <row r="111" ht="31.5" customHeight="1">
      <c r="D111" s="6" t="str">
        <f t="shared" si="1"/>
        <v/>
      </c>
      <c r="H111" s="7"/>
      <c r="K111" s="7">
        <f t="shared" si="2"/>
        <v>0</v>
      </c>
      <c r="N111" s="7">
        <f t="shared" si="3"/>
        <v>0</v>
      </c>
      <c r="O111" s="7">
        <f t="shared" si="4"/>
        <v>0</v>
      </c>
      <c r="P111" s="7">
        <f t="shared" si="5"/>
        <v>0</v>
      </c>
      <c r="Q111" s="7">
        <f t="shared" si="6"/>
        <v>0</v>
      </c>
      <c r="R111" s="15"/>
      <c r="S111" s="15"/>
      <c r="T111" s="9">
        <f t="shared" si="7"/>
        <v>0</v>
      </c>
      <c r="U111" s="10"/>
      <c r="V111" s="9"/>
      <c r="W111" s="10"/>
      <c r="X111" s="13"/>
      <c r="Y111" s="13"/>
    </row>
    <row r="112" ht="31.5" customHeight="1">
      <c r="D112" s="6" t="str">
        <f t="shared" si="1"/>
        <v/>
      </c>
      <c r="H112" s="7"/>
      <c r="K112" s="7">
        <f t="shared" si="2"/>
        <v>0</v>
      </c>
      <c r="N112" s="7">
        <f t="shared" si="3"/>
        <v>0</v>
      </c>
      <c r="O112" s="7">
        <f t="shared" si="4"/>
        <v>0</v>
      </c>
      <c r="P112" s="7">
        <f t="shared" si="5"/>
        <v>0</v>
      </c>
      <c r="Q112" s="7">
        <f t="shared" si="6"/>
        <v>0</v>
      </c>
      <c r="R112" s="15"/>
      <c r="S112" s="15"/>
      <c r="T112" s="9">
        <f t="shared" si="7"/>
        <v>0</v>
      </c>
      <c r="U112" s="10"/>
      <c r="V112" s="9"/>
      <c r="W112" s="10"/>
      <c r="X112" s="13"/>
      <c r="Y112" s="13"/>
    </row>
    <row r="113" ht="31.5" customHeight="1">
      <c r="D113" s="6" t="str">
        <f t="shared" si="1"/>
        <v/>
      </c>
      <c r="H113" s="7"/>
      <c r="K113" s="7">
        <f t="shared" si="2"/>
        <v>0</v>
      </c>
      <c r="N113" s="7">
        <f t="shared" si="3"/>
        <v>0</v>
      </c>
      <c r="O113" s="7">
        <f t="shared" si="4"/>
        <v>0</v>
      </c>
      <c r="P113" s="7">
        <f t="shared" si="5"/>
        <v>0</v>
      </c>
      <c r="Q113" s="7">
        <f t="shared" si="6"/>
        <v>0</v>
      </c>
      <c r="R113" s="15"/>
      <c r="S113" s="15"/>
      <c r="T113" s="9">
        <f t="shared" si="7"/>
        <v>0</v>
      </c>
      <c r="U113" s="10"/>
      <c r="V113" s="9"/>
      <c r="W113" s="10"/>
      <c r="X113" s="13"/>
      <c r="Y113" s="13"/>
    </row>
    <row r="114" ht="31.5" customHeight="1">
      <c r="D114" s="6" t="str">
        <f t="shared" si="1"/>
        <v/>
      </c>
      <c r="H114" s="7"/>
      <c r="K114" s="7">
        <f t="shared" si="2"/>
        <v>0</v>
      </c>
      <c r="N114" s="7">
        <f t="shared" si="3"/>
        <v>0</v>
      </c>
      <c r="O114" s="7">
        <f t="shared" si="4"/>
        <v>0</v>
      </c>
      <c r="P114" s="7">
        <f t="shared" si="5"/>
        <v>0</v>
      </c>
      <c r="Q114" s="7">
        <f t="shared" si="6"/>
        <v>0</v>
      </c>
      <c r="R114" s="15"/>
      <c r="S114" s="15"/>
      <c r="T114" s="9">
        <f t="shared" si="7"/>
        <v>0</v>
      </c>
      <c r="U114" s="10"/>
      <c r="V114" s="9"/>
      <c r="W114" s="10"/>
      <c r="X114" s="13"/>
      <c r="Y114" s="13"/>
    </row>
    <row r="115" ht="31.5" customHeight="1">
      <c r="D115" s="6" t="str">
        <f t="shared" si="1"/>
        <v/>
      </c>
      <c r="H115" s="7"/>
      <c r="K115" s="7">
        <f t="shared" si="2"/>
        <v>0</v>
      </c>
      <c r="N115" s="7">
        <f t="shared" si="3"/>
        <v>0</v>
      </c>
      <c r="O115" s="7">
        <f t="shared" si="4"/>
        <v>0</v>
      </c>
      <c r="P115" s="7">
        <f t="shared" si="5"/>
        <v>0</v>
      </c>
      <c r="Q115" s="7">
        <f t="shared" si="6"/>
        <v>0</v>
      </c>
      <c r="R115" s="15"/>
      <c r="S115" s="15"/>
      <c r="T115" s="9">
        <f t="shared" si="7"/>
        <v>0</v>
      </c>
      <c r="U115" s="10"/>
      <c r="V115" s="9"/>
      <c r="W115" s="10"/>
      <c r="X115" s="13"/>
      <c r="Y115" s="13"/>
    </row>
    <row r="116" ht="31.5" customHeight="1">
      <c r="D116" s="6" t="str">
        <f t="shared" si="1"/>
        <v/>
      </c>
      <c r="H116" s="7"/>
      <c r="K116" s="7">
        <f t="shared" si="2"/>
        <v>0</v>
      </c>
      <c r="N116" s="7">
        <f t="shared" si="3"/>
        <v>0</v>
      </c>
      <c r="O116" s="7">
        <f t="shared" si="4"/>
        <v>0</v>
      </c>
      <c r="P116" s="7">
        <f t="shared" si="5"/>
        <v>0</v>
      </c>
      <c r="Q116" s="7">
        <f t="shared" si="6"/>
        <v>0</v>
      </c>
      <c r="R116" s="15"/>
      <c r="S116" s="15"/>
      <c r="T116" s="9">
        <f t="shared" si="7"/>
        <v>0</v>
      </c>
      <c r="U116" s="10"/>
      <c r="V116" s="9"/>
      <c r="W116" s="10"/>
      <c r="X116" s="13"/>
      <c r="Y116" s="13"/>
    </row>
    <row r="117" ht="31.5" customHeight="1">
      <c r="D117" s="6" t="str">
        <f t="shared" si="1"/>
        <v/>
      </c>
      <c r="H117" s="7"/>
      <c r="K117" s="7">
        <f t="shared" si="2"/>
        <v>0</v>
      </c>
      <c r="N117" s="7">
        <f t="shared" si="3"/>
        <v>0</v>
      </c>
      <c r="O117" s="7">
        <f t="shared" si="4"/>
        <v>0</v>
      </c>
      <c r="P117" s="7">
        <f t="shared" si="5"/>
        <v>0</v>
      </c>
      <c r="Q117" s="7">
        <f t="shared" si="6"/>
        <v>0</v>
      </c>
      <c r="R117" s="15"/>
      <c r="S117" s="15"/>
      <c r="T117" s="9">
        <f t="shared" si="7"/>
        <v>0</v>
      </c>
      <c r="U117" s="10"/>
      <c r="V117" s="9"/>
      <c r="W117" s="10"/>
      <c r="X117" s="13"/>
      <c r="Y117" s="13"/>
    </row>
    <row r="118" ht="31.5" customHeight="1">
      <c r="D118" s="6" t="str">
        <f t="shared" si="1"/>
        <v/>
      </c>
      <c r="H118" s="7"/>
      <c r="K118" s="7">
        <f t="shared" si="2"/>
        <v>0</v>
      </c>
      <c r="N118" s="7">
        <f t="shared" si="3"/>
        <v>0</v>
      </c>
      <c r="O118" s="7">
        <f t="shared" si="4"/>
        <v>0</v>
      </c>
      <c r="P118" s="7">
        <f t="shared" si="5"/>
        <v>0</v>
      </c>
      <c r="Q118" s="7">
        <f t="shared" si="6"/>
        <v>0</v>
      </c>
      <c r="R118" s="15"/>
      <c r="S118" s="15"/>
      <c r="T118" s="9">
        <f t="shared" si="7"/>
        <v>0</v>
      </c>
      <c r="U118" s="10"/>
      <c r="V118" s="9"/>
      <c r="W118" s="10"/>
      <c r="X118" s="13"/>
      <c r="Y118" s="13"/>
    </row>
    <row r="119" ht="31.5" customHeight="1">
      <c r="D119" s="6" t="str">
        <f t="shared" si="1"/>
        <v/>
      </c>
      <c r="H119" s="7"/>
      <c r="K119" s="7">
        <f t="shared" si="2"/>
        <v>0</v>
      </c>
      <c r="N119" s="7">
        <f t="shared" si="3"/>
        <v>0</v>
      </c>
      <c r="O119" s="7">
        <f t="shared" si="4"/>
        <v>0</v>
      </c>
      <c r="P119" s="7">
        <f t="shared" si="5"/>
        <v>0</v>
      </c>
      <c r="Q119" s="7">
        <f t="shared" si="6"/>
        <v>0</v>
      </c>
      <c r="R119" s="15"/>
      <c r="S119" s="15"/>
      <c r="T119" s="9">
        <f t="shared" si="7"/>
        <v>0</v>
      </c>
      <c r="U119" s="10"/>
      <c r="V119" s="9"/>
      <c r="W119" s="10"/>
      <c r="X119" s="13"/>
      <c r="Y119" s="13"/>
    </row>
    <row r="120" ht="31.5" customHeight="1">
      <c r="D120" s="6" t="str">
        <f t="shared" si="1"/>
        <v/>
      </c>
      <c r="H120" s="7"/>
      <c r="K120" s="7">
        <f t="shared" si="2"/>
        <v>0</v>
      </c>
      <c r="N120" s="7">
        <f t="shared" si="3"/>
        <v>0</v>
      </c>
      <c r="O120" s="7">
        <f t="shared" si="4"/>
        <v>0</v>
      </c>
      <c r="P120" s="7">
        <f t="shared" si="5"/>
        <v>0</v>
      </c>
      <c r="Q120" s="7">
        <f t="shared" si="6"/>
        <v>0</v>
      </c>
      <c r="R120" s="15"/>
      <c r="S120" s="15"/>
      <c r="T120" s="9">
        <f t="shared" si="7"/>
        <v>0</v>
      </c>
      <c r="U120" s="10"/>
      <c r="V120" s="9"/>
      <c r="W120" s="10"/>
      <c r="X120" s="13"/>
      <c r="Y120" s="13"/>
    </row>
    <row r="121" ht="31.5" customHeight="1">
      <c r="D121" s="6" t="str">
        <f t="shared" si="1"/>
        <v/>
      </c>
      <c r="H121" s="7"/>
      <c r="K121" s="7">
        <f t="shared" si="2"/>
        <v>0</v>
      </c>
      <c r="N121" s="7">
        <f t="shared" si="3"/>
        <v>0</v>
      </c>
      <c r="O121" s="7">
        <f t="shared" si="4"/>
        <v>0</v>
      </c>
      <c r="P121" s="7">
        <f t="shared" si="5"/>
        <v>0</v>
      </c>
      <c r="Q121" s="7">
        <f t="shared" si="6"/>
        <v>0</v>
      </c>
      <c r="R121" s="15"/>
      <c r="S121" s="15"/>
      <c r="T121" s="9">
        <f t="shared" si="7"/>
        <v>0</v>
      </c>
      <c r="U121" s="10"/>
      <c r="V121" s="9"/>
      <c r="W121" s="10"/>
      <c r="X121" s="13"/>
      <c r="Y121" s="13"/>
    </row>
    <row r="122" ht="31.5" customHeight="1">
      <c r="D122" s="6" t="str">
        <f t="shared" si="1"/>
        <v/>
      </c>
      <c r="H122" s="7"/>
      <c r="K122" s="7">
        <f t="shared" si="2"/>
        <v>0</v>
      </c>
      <c r="N122" s="7">
        <f t="shared" si="3"/>
        <v>0</v>
      </c>
      <c r="O122" s="7">
        <f t="shared" si="4"/>
        <v>0</v>
      </c>
      <c r="P122" s="7">
        <f t="shared" si="5"/>
        <v>0</v>
      </c>
      <c r="Q122" s="7">
        <f t="shared" si="6"/>
        <v>0</v>
      </c>
      <c r="R122" s="15"/>
      <c r="S122" s="15"/>
      <c r="T122" s="9">
        <f t="shared" si="7"/>
        <v>0</v>
      </c>
      <c r="U122" s="10"/>
      <c r="V122" s="9"/>
      <c r="W122" s="10"/>
      <c r="X122" s="13"/>
      <c r="Y122" s="13"/>
    </row>
    <row r="123" ht="31.5" customHeight="1">
      <c r="D123" s="6" t="str">
        <f t="shared" si="1"/>
        <v/>
      </c>
      <c r="H123" s="7"/>
      <c r="K123" s="7">
        <f t="shared" si="2"/>
        <v>0</v>
      </c>
      <c r="N123" s="7">
        <f t="shared" si="3"/>
        <v>0</v>
      </c>
      <c r="O123" s="7">
        <f t="shared" si="4"/>
        <v>0</v>
      </c>
      <c r="P123" s="7">
        <f t="shared" si="5"/>
        <v>0</v>
      </c>
      <c r="Q123" s="7">
        <f t="shared" si="6"/>
        <v>0</v>
      </c>
      <c r="R123" s="15"/>
      <c r="S123" s="15"/>
      <c r="T123" s="9">
        <f t="shared" si="7"/>
        <v>0</v>
      </c>
      <c r="U123" s="10"/>
      <c r="V123" s="9"/>
      <c r="W123" s="10"/>
      <c r="X123" s="13"/>
      <c r="Y123" s="13"/>
    </row>
    <row r="124" ht="31.5" customHeight="1">
      <c r="D124" s="6" t="str">
        <f t="shared" si="1"/>
        <v/>
      </c>
      <c r="H124" s="7"/>
      <c r="K124" s="7">
        <f t="shared" si="2"/>
        <v>0</v>
      </c>
      <c r="N124" s="7">
        <f t="shared" si="3"/>
        <v>0</v>
      </c>
      <c r="O124" s="7">
        <f t="shared" si="4"/>
        <v>0</v>
      </c>
      <c r="P124" s="7">
        <f t="shared" si="5"/>
        <v>0</v>
      </c>
      <c r="Q124" s="7">
        <f t="shared" si="6"/>
        <v>0</v>
      </c>
      <c r="R124" s="15"/>
      <c r="S124" s="15"/>
      <c r="T124" s="9">
        <f t="shared" si="7"/>
        <v>0</v>
      </c>
      <c r="U124" s="10"/>
      <c r="V124" s="9"/>
      <c r="W124" s="10"/>
      <c r="X124" s="13"/>
      <c r="Y124" s="13"/>
    </row>
    <row r="125" ht="31.5" customHeight="1">
      <c r="D125" s="6" t="str">
        <f t="shared" si="1"/>
        <v/>
      </c>
      <c r="H125" s="7"/>
      <c r="K125" s="7">
        <f t="shared" si="2"/>
        <v>0</v>
      </c>
      <c r="N125" s="7">
        <f t="shared" si="3"/>
        <v>0</v>
      </c>
      <c r="O125" s="7">
        <f t="shared" si="4"/>
        <v>0</v>
      </c>
      <c r="P125" s="7">
        <f t="shared" si="5"/>
        <v>0</v>
      </c>
      <c r="Q125" s="7">
        <f t="shared" si="6"/>
        <v>0</v>
      </c>
      <c r="R125" s="15"/>
      <c r="S125" s="15"/>
      <c r="T125" s="9">
        <f t="shared" si="7"/>
        <v>0</v>
      </c>
      <c r="U125" s="10"/>
      <c r="V125" s="9"/>
      <c r="W125" s="10"/>
      <c r="X125" s="13"/>
      <c r="Y125" s="13"/>
    </row>
    <row r="126" ht="31.5" customHeight="1">
      <c r="D126" s="6" t="str">
        <f t="shared" si="1"/>
        <v/>
      </c>
      <c r="H126" s="7"/>
      <c r="K126" s="7">
        <f t="shared" si="2"/>
        <v>0</v>
      </c>
      <c r="N126" s="7">
        <f t="shared" si="3"/>
        <v>0</v>
      </c>
      <c r="O126" s="7">
        <f t="shared" si="4"/>
        <v>0</v>
      </c>
      <c r="P126" s="7">
        <f t="shared" si="5"/>
        <v>0</v>
      </c>
      <c r="Q126" s="7">
        <f t="shared" si="6"/>
        <v>0</v>
      </c>
      <c r="R126" s="15"/>
      <c r="S126" s="15"/>
      <c r="T126" s="9">
        <f t="shared" si="7"/>
        <v>0</v>
      </c>
      <c r="U126" s="10"/>
      <c r="V126" s="9"/>
      <c r="W126" s="10"/>
      <c r="X126" s="13"/>
      <c r="Y126" s="13"/>
    </row>
    <row r="127" ht="31.5" customHeight="1">
      <c r="D127" s="6" t="str">
        <f t="shared" si="1"/>
        <v/>
      </c>
      <c r="H127" s="7"/>
      <c r="K127" s="7">
        <f t="shared" si="2"/>
        <v>0</v>
      </c>
      <c r="N127" s="7">
        <f t="shared" si="3"/>
        <v>0</v>
      </c>
      <c r="O127" s="7">
        <f t="shared" si="4"/>
        <v>0</v>
      </c>
      <c r="P127" s="7">
        <f t="shared" si="5"/>
        <v>0</v>
      </c>
      <c r="Q127" s="7">
        <f t="shared" si="6"/>
        <v>0</v>
      </c>
      <c r="R127" s="15"/>
      <c r="S127" s="15"/>
      <c r="T127" s="9">
        <f t="shared" si="7"/>
        <v>0</v>
      </c>
      <c r="U127" s="10"/>
      <c r="V127" s="9"/>
      <c r="W127" s="10"/>
      <c r="X127" s="13"/>
      <c r="Y127" s="13"/>
    </row>
    <row r="128" ht="31.5" customHeight="1">
      <c r="D128" s="6" t="str">
        <f t="shared" si="1"/>
        <v/>
      </c>
      <c r="H128" s="7"/>
      <c r="K128" s="7">
        <f t="shared" si="2"/>
        <v>0</v>
      </c>
      <c r="N128" s="7">
        <f t="shared" si="3"/>
        <v>0</v>
      </c>
      <c r="O128" s="7">
        <f t="shared" si="4"/>
        <v>0</v>
      </c>
      <c r="P128" s="7">
        <f t="shared" si="5"/>
        <v>0</v>
      </c>
      <c r="Q128" s="7">
        <f t="shared" si="6"/>
        <v>0</v>
      </c>
      <c r="R128" s="15"/>
      <c r="S128" s="15"/>
      <c r="T128" s="9">
        <f t="shared" si="7"/>
        <v>0</v>
      </c>
      <c r="U128" s="10"/>
      <c r="V128" s="9"/>
      <c r="W128" s="10"/>
      <c r="X128" s="13"/>
      <c r="Y128" s="13"/>
    </row>
    <row r="129" ht="31.5" customHeight="1">
      <c r="D129" s="6" t="str">
        <f t="shared" si="1"/>
        <v/>
      </c>
      <c r="H129" s="7"/>
      <c r="K129" s="7">
        <f t="shared" si="2"/>
        <v>0</v>
      </c>
      <c r="N129" s="7">
        <f t="shared" si="3"/>
        <v>0</v>
      </c>
      <c r="O129" s="7">
        <f t="shared" si="4"/>
        <v>0</v>
      </c>
      <c r="P129" s="7">
        <f t="shared" si="5"/>
        <v>0</v>
      </c>
      <c r="Q129" s="7">
        <f t="shared" si="6"/>
        <v>0</v>
      </c>
      <c r="R129" s="15"/>
      <c r="S129" s="15"/>
      <c r="T129" s="9">
        <f t="shared" si="7"/>
        <v>0</v>
      </c>
      <c r="U129" s="10"/>
      <c r="V129" s="9"/>
      <c r="W129" s="10"/>
      <c r="X129" s="13"/>
      <c r="Y129" s="13"/>
    </row>
    <row r="130" ht="31.5" customHeight="1">
      <c r="D130" s="6" t="str">
        <f t="shared" si="1"/>
        <v/>
      </c>
      <c r="H130" s="7"/>
      <c r="K130" s="7">
        <f t="shared" si="2"/>
        <v>0</v>
      </c>
      <c r="N130" s="7">
        <f t="shared" si="3"/>
        <v>0</v>
      </c>
      <c r="O130" s="7">
        <f t="shared" si="4"/>
        <v>0</v>
      </c>
      <c r="P130" s="7">
        <f t="shared" si="5"/>
        <v>0</v>
      </c>
      <c r="Q130" s="7">
        <f t="shared" si="6"/>
        <v>0</v>
      </c>
      <c r="R130" s="15"/>
      <c r="S130" s="15"/>
      <c r="T130" s="9">
        <f t="shared" si="7"/>
        <v>0</v>
      </c>
      <c r="U130" s="10"/>
      <c r="V130" s="9"/>
      <c r="W130" s="10"/>
      <c r="X130" s="13"/>
      <c r="Y130" s="13"/>
    </row>
    <row r="131" ht="31.5" customHeight="1">
      <c r="D131" s="6" t="str">
        <f t="shared" si="1"/>
        <v/>
      </c>
      <c r="H131" s="7"/>
      <c r="K131" s="7">
        <f t="shared" si="2"/>
        <v>0</v>
      </c>
      <c r="N131" s="7">
        <f t="shared" si="3"/>
        <v>0</v>
      </c>
      <c r="O131" s="7">
        <f t="shared" si="4"/>
        <v>0</v>
      </c>
      <c r="P131" s="7">
        <f t="shared" si="5"/>
        <v>0</v>
      </c>
      <c r="Q131" s="7">
        <f t="shared" si="6"/>
        <v>0</v>
      </c>
      <c r="R131" s="15"/>
      <c r="S131" s="15"/>
      <c r="T131" s="9">
        <f t="shared" si="7"/>
        <v>0</v>
      </c>
      <c r="U131" s="10"/>
      <c r="V131" s="9"/>
      <c r="W131" s="10"/>
      <c r="X131" s="13"/>
      <c r="Y131" s="13"/>
    </row>
    <row r="132" ht="31.5" customHeight="1">
      <c r="D132" s="6" t="str">
        <f t="shared" si="1"/>
        <v/>
      </c>
      <c r="H132" s="7"/>
      <c r="K132" s="7">
        <f t="shared" si="2"/>
        <v>0</v>
      </c>
      <c r="N132" s="7">
        <f t="shared" si="3"/>
        <v>0</v>
      </c>
      <c r="O132" s="7">
        <f t="shared" si="4"/>
        <v>0</v>
      </c>
      <c r="P132" s="7">
        <f t="shared" si="5"/>
        <v>0</v>
      </c>
      <c r="Q132" s="7">
        <f t="shared" si="6"/>
        <v>0</v>
      </c>
      <c r="R132" s="15"/>
      <c r="S132" s="15"/>
      <c r="T132" s="9">
        <f t="shared" si="7"/>
        <v>0</v>
      </c>
      <c r="U132" s="10"/>
      <c r="V132" s="9"/>
      <c r="W132" s="10"/>
      <c r="X132" s="13"/>
      <c r="Y132" s="13"/>
    </row>
    <row r="133" ht="31.5" customHeight="1">
      <c r="D133" s="6" t="str">
        <f t="shared" si="1"/>
        <v/>
      </c>
      <c r="H133" s="7"/>
      <c r="K133" s="7">
        <f t="shared" si="2"/>
        <v>0</v>
      </c>
      <c r="N133" s="7">
        <f t="shared" si="3"/>
        <v>0</v>
      </c>
      <c r="O133" s="7">
        <f t="shared" si="4"/>
        <v>0</v>
      </c>
      <c r="P133" s="7">
        <f t="shared" si="5"/>
        <v>0</v>
      </c>
      <c r="Q133" s="7">
        <f t="shared" si="6"/>
        <v>0</v>
      </c>
      <c r="R133" s="15"/>
      <c r="S133" s="15"/>
      <c r="T133" s="9">
        <f t="shared" si="7"/>
        <v>0</v>
      </c>
      <c r="U133" s="10"/>
      <c r="V133" s="9"/>
      <c r="W133" s="10"/>
      <c r="X133" s="13"/>
      <c r="Y133" s="13"/>
    </row>
    <row r="134" ht="31.5" customHeight="1">
      <c r="D134" s="6" t="str">
        <f t="shared" si="1"/>
        <v/>
      </c>
      <c r="H134" s="7"/>
      <c r="K134" s="7">
        <f t="shared" si="2"/>
        <v>0</v>
      </c>
      <c r="N134" s="7">
        <f t="shared" si="3"/>
        <v>0</v>
      </c>
      <c r="O134" s="7">
        <f t="shared" si="4"/>
        <v>0</v>
      </c>
      <c r="P134" s="7">
        <f t="shared" si="5"/>
        <v>0</v>
      </c>
      <c r="Q134" s="7">
        <f t="shared" si="6"/>
        <v>0</v>
      </c>
      <c r="R134" s="15"/>
      <c r="S134" s="15"/>
      <c r="T134" s="9">
        <f t="shared" si="7"/>
        <v>0</v>
      </c>
      <c r="U134" s="10"/>
      <c r="V134" s="9"/>
      <c r="W134" s="10"/>
      <c r="X134" s="13"/>
      <c r="Y134" s="13"/>
    </row>
    <row r="135" ht="31.5" customHeight="1">
      <c r="D135" s="6" t="str">
        <f t="shared" si="1"/>
        <v/>
      </c>
      <c r="H135" s="7"/>
      <c r="K135" s="7">
        <f t="shared" si="2"/>
        <v>0</v>
      </c>
      <c r="N135" s="7">
        <f t="shared" si="3"/>
        <v>0</v>
      </c>
      <c r="O135" s="7">
        <f t="shared" si="4"/>
        <v>0</v>
      </c>
      <c r="P135" s="7">
        <f t="shared" si="5"/>
        <v>0</v>
      </c>
      <c r="Q135" s="7">
        <f t="shared" si="6"/>
        <v>0</v>
      </c>
      <c r="R135" s="15"/>
      <c r="S135" s="15"/>
      <c r="T135" s="9">
        <f t="shared" si="7"/>
        <v>0</v>
      </c>
      <c r="U135" s="10"/>
      <c r="V135" s="9"/>
      <c r="W135" s="10"/>
      <c r="X135" s="13"/>
      <c r="Y135" s="13"/>
    </row>
    <row r="136" ht="31.5" customHeight="1">
      <c r="D136" s="6" t="str">
        <f t="shared" si="1"/>
        <v/>
      </c>
      <c r="H136" s="7"/>
      <c r="K136" s="7">
        <f t="shared" si="2"/>
        <v>0</v>
      </c>
      <c r="N136" s="7">
        <f t="shared" si="3"/>
        <v>0</v>
      </c>
      <c r="O136" s="7">
        <f t="shared" si="4"/>
        <v>0</v>
      </c>
      <c r="P136" s="7">
        <f t="shared" si="5"/>
        <v>0</v>
      </c>
      <c r="Q136" s="7">
        <f t="shared" si="6"/>
        <v>0</v>
      </c>
      <c r="R136" s="15"/>
      <c r="S136" s="15"/>
      <c r="T136" s="9">
        <f t="shared" si="7"/>
        <v>0</v>
      </c>
      <c r="U136" s="10"/>
      <c r="V136" s="9"/>
      <c r="W136" s="10"/>
      <c r="X136" s="13"/>
      <c r="Y136" s="13"/>
    </row>
    <row r="137" ht="31.5" customHeight="1">
      <c r="D137" s="6" t="str">
        <f t="shared" si="1"/>
        <v/>
      </c>
      <c r="H137" s="7"/>
      <c r="K137" s="7">
        <f t="shared" si="2"/>
        <v>0</v>
      </c>
      <c r="N137" s="7">
        <f t="shared" si="3"/>
        <v>0</v>
      </c>
      <c r="O137" s="7">
        <f t="shared" si="4"/>
        <v>0</v>
      </c>
      <c r="P137" s="7">
        <f t="shared" si="5"/>
        <v>0</v>
      </c>
      <c r="Q137" s="7">
        <f t="shared" si="6"/>
        <v>0</v>
      </c>
      <c r="R137" s="15"/>
      <c r="S137" s="15"/>
      <c r="T137" s="9">
        <f t="shared" si="7"/>
        <v>0</v>
      </c>
      <c r="U137" s="10"/>
      <c r="V137" s="9"/>
      <c r="W137" s="10"/>
      <c r="X137" s="13"/>
      <c r="Y137" s="13"/>
    </row>
    <row r="138" ht="31.5" customHeight="1">
      <c r="D138" s="6" t="str">
        <f t="shared" si="1"/>
        <v/>
      </c>
      <c r="H138" s="7"/>
      <c r="K138" s="7">
        <f t="shared" si="2"/>
        <v>0</v>
      </c>
      <c r="N138" s="7">
        <f t="shared" si="3"/>
        <v>0</v>
      </c>
      <c r="O138" s="7">
        <f t="shared" si="4"/>
        <v>0</v>
      </c>
      <c r="P138" s="7">
        <f t="shared" si="5"/>
        <v>0</v>
      </c>
      <c r="Q138" s="7">
        <f t="shared" si="6"/>
        <v>0</v>
      </c>
      <c r="R138" s="15"/>
      <c r="S138" s="15"/>
      <c r="T138" s="9">
        <f t="shared" si="7"/>
        <v>0</v>
      </c>
      <c r="U138" s="10"/>
      <c r="V138" s="9"/>
      <c r="W138" s="10"/>
      <c r="X138" s="13"/>
      <c r="Y138" s="13"/>
    </row>
    <row r="139" ht="31.5" customHeight="1">
      <c r="D139" s="6" t="str">
        <f t="shared" si="1"/>
        <v/>
      </c>
      <c r="H139" s="7"/>
      <c r="K139" s="7">
        <f t="shared" si="2"/>
        <v>0</v>
      </c>
      <c r="N139" s="7">
        <f t="shared" si="3"/>
        <v>0</v>
      </c>
      <c r="O139" s="7">
        <f t="shared" si="4"/>
        <v>0</v>
      </c>
      <c r="P139" s="7">
        <f t="shared" si="5"/>
        <v>0</v>
      </c>
      <c r="Q139" s="7">
        <f t="shared" si="6"/>
        <v>0</v>
      </c>
      <c r="R139" s="15"/>
      <c r="S139" s="15"/>
      <c r="T139" s="9">
        <f t="shared" si="7"/>
        <v>0</v>
      </c>
      <c r="U139" s="10"/>
      <c r="V139" s="9"/>
      <c r="W139" s="10"/>
      <c r="X139" s="13"/>
      <c r="Y139" s="13"/>
    </row>
    <row r="140" ht="31.5" customHeight="1">
      <c r="D140" s="6" t="str">
        <f t="shared" si="1"/>
        <v/>
      </c>
      <c r="H140" s="7"/>
      <c r="K140" s="7">
        <f t="shared" si="2"/>
        <v>0</v>
      </c>
      <c r="N140" s="7">
        <f t="shared" si="3"/>
        <v>0</v>
      </c>
      <c r="O140" s="7">
        <f t="shared" si="4"/>
        <v>0</v>
      </c>
      <c r="P140" s="7">
        <f t="shared" si="5"/>
        <v>0</v>
      </c>
      <c r="Q140" s="7">
        <f t="shared" si="6"/>
        <v>0</v>
      </c>
      <c r="R140" s="15"/>
      <c r="S140" s="15"/>
      <c r="T140" s="9">
        <f t="shared" si="7"/>
        <v>0</v>
      </c>
      <c r="U140" s="10"/>
      <c r="V140" s="9"/>
      <c r="W140" s="10"/>
      <c r="X140" s="13"/>
      <c r="Y140" s="13"/>
    </row>
    <row r="141" ht="31.5" customHeight="1">
      <c r="D141" s="6" t="str">
        <f t="shared" si="1"/>
        <v/>
      </c>
      <c r="H141" s="7"/>
      <c r="K141" s="7">
        <f t="shared" si="2"/>
        <v>0</v>
      </c>
      <c r="N141" s="7">
        <f t="shared" si="3"/>
        <v>0</v>
      </c>
      <c r="O141" s="7">
        <f t="shared" si="4"/>
        <v>0</v>
      </c>
      <c r="P141" s="7">
        <f t="shared" si="5"/>
        <v>0</v>
      </c>
      <c r="Q141" s="7">
        <f t="shared" si="6"/>
        <v>0</v>
      </c>
      <c r="R141" s="15"/>
      <c r="S141" s="15"/>
      <c r="T141" s="9">
        <f t="shared" si="7"/>
        <v>0</v>
      </c>
      <c r="U141" s="10"/>
      <c r="V141" s="9"/>
      <c r="W141" s="10"/>
      <c r="X141" s="13"/>
      <c r="Y141" s="13"/>
    </row>
    <row r="142" ht="31.5" customHeight="1">
      <c r="D142" s="6" t="str">
        <f t="shared" si="1"/>
        <v/>
      </c>
      <c r="H142" s="7"/>
      <c r="K142" s="7">
        <f t="shared" si="2"/>
        <v>0</v>
      </c>
      <c r="N142" s="7">
        <f t="shared" si="3"/>
        <v>0</v>
      </c>
      <c r="O142" s="7">
        <f t="shared" si="4"/>
        <v>0</v>
      </c>
      <c r="P142" s="7">
        <f t="shared" si="5"/>
        <v>0</v>
      </c>
      <c r="Q142" s="7">
        <f t="shared" si="6"/>
        <v>0</v>
      </c>
      <c r="R142" s="15"/>
      <c r="S142" s="15"/>
      <c r="T142" s="9">
        <f t="shared" si="7"/>
        <v>0</v>
      </c>
      <c r="U142" s="10"/>
      <c r="V142" s="9"/>
      <c r="W142" s="10"/>
      <c r="X142" s="13"/>
      <c r="Y142" s="13"/>
    </row>
    <row r="143" ht="31.5" customHeight="1">
      <c r="D143" s="6" t="str">
        <f t="shared" si="1"/>
        <v/>
      </c>
      <c r="H143" s="7"/>
      <c r="K143" s="7">
        <f t="shared" si="2"/>
        <v>0</v>
      </c>
      <c r="N143" s="7">
        <f t="shared" si="3"/>
        <v>0</v>
      </c>
      <c r="O143" s="7">
        <f t="shared" si="4"/>
        <v>0</v>
      </c>
      <c r="P143" s="7">
        <f t="shared" si="5"/>
        <v>0</v>
      </c>
      <c r="Q143" s="7">
        <f t="shared" si="6"/>
        <v>0</v>
      </c>
      <c r="R143" s="15"/>
      <c r="S143" s="15"/>
      <c r="T143" s="9">
        <f t="shared" si="7"/>
        <v>0</v>
      </c>
      <c r="U143" s="10"/>
      <c r="V143" s="9"/>
      <c r="W143" s="10"/>
      <c r="X143" s="13"/>
      <c r="Y143" s="13"/>
    </row>
    <row r="144" ht="31.5" customHeight="1">
      <c r="D144" s="6" t="str">
        <f t="shared" si="1"/>
        <v/>
      </c>
      <c r="H144" s="7"/>
      <c r="K144" s="7">
        <f t="shared" si="2"/>
        <v>0</v>
      </c>
      <c r="N144" s="7">
        <f t="shared" si="3"/>
        <v>0</v>
      </c>
      <c r="O144" s="7">
        <f t="shared" si="4"/>
        <v>0</v>
      </c>
      <c r="P144" s="7">
        <f t="shared" si="5"/>
        <v>0</v>
      </c>
      <c r="Q144" s="7">
        <f t="shared" si="6"/>
        <v>0</v>
      </c>
      <c r="R144" s="15"/>
      <c r="S144" s="15"/>
      <c r="T144" s="9">
        <f t="shared" si="7"/>
        <v>0</v>
      </c>
      <c r="U144" s="10"/>
      <c r="V144" s="9"/>
      <c r="W144" s="10"/>
      <c r="X144" s="13"/>
      <c r="Y144" s="13"/>
    </row>
    <row r="145" ht="31.5" customHeight="1">
      <c r="D145" s="6" t="str">
        <f t="shared" si="1"/>
        <v/>
      </c>
      <c r="H145" s="7"/>
      <c r="K145" s="7">
        <f t="shared" si="2"/>
        <v>0</v>
      </c>
      <c r="N145" s="7">
        <f t="shared" si="3"/>
        <v>0</v>
      </c>
      <c r="O145" s="7">
        <f t="shared" si="4"/>
        <v>0</v>
      </c>
      <c r="P145" s="7">
        <f t="shared" si="5"/>
        <v>0</v>
      </c>
      <c r="Q145" s="7">
        <f t="shared" si="6"/>
        <v>0</v>
      </c>
      <c r="R145" s="15"/>
      <c r="S145" s="15"/>
      <c r="T145" s="9">
        <f t="shared" si="7"/>
        <v>0</v>
      </c>
      <c r="U145" s="10"/>
      <c r="V145" s="9"/>
      <c r="W145" s="10"/>
      <c r="X145" s="13"/>
      <c r="Y145" s="13"/>
    </row>
    <row r="146" ht="31.5" customHeight="1">
      <c r="D146" s="6" t="str">
        <f t="shared" si="1"/>
        <v/>
      </c>
      <c r="H146" s="7"/>
      <c r="K146" s="7">
        <f t="shared" si="2"/>
        <v>0</v>
      </c>
      <c r="N146" s="7">
        <f t="shared" si="3"/>
        <v>0</v>
      </c>
      <c r="O146" s="7">
        <f t="shared" si="4"/>
        <v>0</v>
      </c>
      <c r="P146" s="7">
        <f t="shared" si="5"/>
        <v>0</v>
      </c>
      <c r="Q146" s="7">
        <f t="shared" si="6"/>
        <v>0</v>
      </c>
      <c r="R146" s="15"/>
      <c r="S146" s="15"/>
      <c r="T146" s="9">
        <f t="shared" si="7"/>
        <v>0</v>
      </c>
      <c r="U146" s="10"/>
      <c r="V146" s="9"/>
      <c r="W146" s="10"/>
      <c r="X146" s="13"/>
      <c r="Y146" s="13"/>
    </row>
    <row r="147" ht="31.5" customHeight="1">
      <c r="D147" s="6" t="str">
        <f t="shared" si="1"/>
        <v/>
      </c>
      <c r="H147" s="7"/>
      <c r="K147" s="7">
        <f t="shared" si="2"/>
        <v>0</v>
      </c>
      <c r="N147" s="7">
        <f t="shared" si="3"/>
        <v>0</v>
      </c>
      <c r="O147" s="7">
        <f t="shared" si="4"/>
        <v>0</v>
      </c>
      <c r="P147" s="7">
        <f t="shared" si="5"/>
        <v>0</v>
      </c>
      <c r="Q147" s="7">
        <f t="shared" si="6"/>
        <v>0</v>
      </c>
      <c r="R147" s="15"/>
      <c r="S147" s="15"/>
      <c r="T147" s="9">
        <f t="shared" si="7"/>
        <v>0</v>
      </c>
      <c r="U147" s="10"/>
      <c r="V147" s="9"/>
      <c r="W147" s="10"/>
      <c r="X147" s="13"/>
      <c r="Y147" s="13"/>
    </row>
    <row r="148" ht="31.5" customHeight="1">
      <c r="D148" s="6" t="str">
        <f t="shared" si="1"/>
        <v/>
      </c>
      <c r="H148" s="7"/>
      <c r="K148" s="7">
        <f t="shared" si="2"/>
        <v>0</v>
      </c>
      <c r="N148" s="7">
        <f t="shared" si="3"/>
        <v>0</v>
      </c>
      <c r="O148" s="7">
        <f t="shared" si="4"/>
        <v>0</v>
      </c>
      <c r="P148" s="7">
        <f t="shared" si="5"/>
        <v>0</v>
      </c>
      <c r="Q148" s="7">
        <f t="shared" si="6"/>
        <v>0</v>
      </c>
      <c r="R148" s="15"/>
      <c r="S148" s="15"/>
      <c r="T148" s="9">
        <f t="shared" si="7"/>
        <v>0</v>
      </c>
      <c r="U148" s="10"/>
      <c r="V148" s="9"/>
      <c r="W148" s="10"/>
      <c r="X148" s="13"/>
      <c r="Y148" s="13"/>
    </row>
    <row r="149" ht="31.5" customHeight="1">
      <c r="D149" s="6" t="str">
        <f t="shared" si="1"/>
        <v/>
      </c>
      <c r="H149" s="7"/>
      <c r="K149" s="7">
        <f t="shared" si="2"/>
        <v>0</v>
      </c>
      <c r="N149" s="7">
        <f t="shared" si="3"/>
        <v>0</v>
      </c>
      <c r="O149" s="7">
        <f t="shared" si="4"/>
        <v>0</v>
      </c>
      <c r="P149" s="7">
        <f t="shared" si="5"/>
        <v>0</v>
      </c>
      <c r="Q149" s="7">
        <f t="shared" si="6"/>
        <v>0</v>
      </c>
      <c r="R149" s="15"/>
      <c r="S149" s="15"/>
      <c r="T149" s="9">
        <f t="shared" si="7"/>
        <v>0</v>
      </c>
      <c r="U149" s="10"/>
      <c r="V149" s="9"/>
      <c r="W149" s="10"/>
      <c r="X149" s="13"/>
      <c r="Y149" s="13"/>
    </row>
    <row r="150" ht="31.5" customHeight="1">
      <c r="D150" s="6" t="str">
        <f t="shared" si="1"/>
        <v/>
      </c>
      <c r="H150" s="7"/>
      <c r="K150" s="7">
        <f t="shared" si="2"/>
        <v>0</v>
      </c>
      <c r="N150" s="7">
        <f t="shared" si="3"/>
        <v>0</v>
      </c>
      <c r="O150" s="7">
        <f t="shared" si="4"/>
        <v>0</v>
      </c>
      <c r="P150" s="7">
        <f t="shared" si="5"/>
        <v>0</v>
      </c>
      <c r="Q150" s="7">
        <f t="shared" si="6"/>
        <v>0</v>
      </c>
      <c r="R150" s="15"/>
      <c r="S150" s="15"/>
      <c r="T150" s="9">
        <f t="shared" si="7"/>
        <v>0</v>
      </c>
      <c r="U150" s="10"/>
      <c r="V150" s="9"/>
      <c r="W150" s="10"/>
      <c r="X150" s="13"/>
      <c r="Y150" s="13"/>
    </row>
    <row r="151" ht="31.5" customHeight="1">
      <c r="D151" s="6" t="str">
        <f t="shared" si="1"/>
        <v/>
      </c>
      <c r="H151" s="7"/>
      <c r="K151" s="7">
        <f t="shared" si="2"/>
        <v>0</v>
      </c>
      <c r="N151" s="7">
        <f t="shared" si="3"/>
        <v>0</v>
      </c>
      <c r="O151" s="7">
        <f t="shared" si="4"/>
        <v>0</v>
      </c>
      <c r="P151" s="7">
        <f t="shared" si="5"/>
        <v>0</v>
      </c>
      <c r="Q151" s="7">
        <f t="shared" si="6"/>
        <v>0</v>
      </c>
      <c r="R151" s="15"/>
      <c r="S151" s="15"/>
      <c r="T151" s="9">
        <f t="shared" si="7"/>
        <v>0</v>
      </c>
      <c r="U151" s="10"/>
      <c r="V151" s="9"/>
      <c r="W151" s="10"/>
      <c r="X151" s="13"/>
      <c r="Y151" s="13"/>
    </row>
    <row r="152" ht="31.5" customHeight="1">
      <c r="D152" s="6" t="str">
        <f t="shared" si="1"/>
        <v/>
      </c>
      <c r="H152" s="7"/>
      <c r="K152" s="7">
        <f t="shared" si="2"/>
        <v>0</v>
      </c>
      <c r="N152" s="7">
        <f t="shared" si="3"/>
        <v>0</v>
      </c>
      <c r="O152" s="7">
        <f t="shared" si="4"/>
        <v>0</v>
      </c>
      <c r="P152" s="7">
        <f t="shared" si="5"/>
        <v>0</v>
      </c>
      <c r="Q152" s="7">
        <f t="shared" si="6"/>
        <v>0</v>
      </c>
      <c r="R152" s="15"/>
      <c r="S152" s="15"/>
      <c r="T152" s="9">
        <f t="shared" si="7"/>
        <v>0</v>
      </c>
      <c r="U152" s="10"/>
      <c r="V152" s="9"/>
      <c r="W152" s="10"/>
      <c r="X152" s="13"/>
      <c r="Y152" s="13"/>
    </row>
    <row r="153" ht="31.5" customHeight="1">
      <c r="D153" s="6" t="str">
        <f t="shared" si="1"/>
        <v/>
      </c>
      <c r="H153" s="7"/>
      <c r="K153" s="7">
        <f t="shared" si="2"/>
        <v>0</v>
      </c>
      <c r="N153" s="7">
        <f t="shared" si="3"/>
        <v>0</v>
      </c>
      <c r="O153" s="7">
        <f t="shared" si="4"/>
        <v>0</v>
      </c>
      <c r="P153" s="7">
        <f t="shared" si="5"/>
        <v>0</v>
      </c>
      <c r="Q153" s="7">
        <f t="shared" si="6"/>
        <v>0</v>
      </c>
      <c r="R153" s="15"/>
      <c r="S153" s="15"/>
      <c r="T153" s="9">
        <f t="shared" si="7"/>
        <v>0</v>
      </c>
      <c r="U153" s="10"/>
      <c r="V153" s="9"/>
      <c r="W153" s="10"/>
      <c r="X153" s="13"/>
      <c r="Y153" s="13"/>
    </row>
    <row r="154" ht="31.5" customHeight="1">
      <c r="D154" s="6" t="str">
        <f t="shared" si="1"/>
        <v/>
      </c>
      <c r="H154" s="7"/>
      <c r="K154" s="7">
        <f t="shared" si="2"/>
        <v>0</v>
      </c>
      <c r="N154" s="7">
        <f t="shared" si="3"/>
        <v>0</v>
      </c>
      <c r="O154" s="7">
        <f t="shared" si="4"/>
        <v>0</v>
      </c>
      <c r="P154" s="7">
        <f t="shared" si="5"/>
        <v>0</v>
      </c>
      <c r="Q154" s="7">
        <f t="shared" si="6"/>
        <v>0</v>
      </c>
      <c r="R154" s="15"/>
      <c r="S154" s="15"/>
      <c r="T154" s="9">
        <f t="shared" si="7"/>
        <v>0</v>
      </c>
      <c r="U154" s="10"/>
      <c r="V154" s="9"/>
      <c r="W154" s="10"/>
      <c r="X154" s="13"/>
      <c r="Y154" s="13"/>
    </row>
    <row r="155" ht="31.5" customHeight="1">
      <c r="D155" s="6" t="str">
        <f t="shared" si="1"/>
        <v/>
      </c>
      <c r="H155" s="7"/>
      <c r="K155" s="7">
        <f t="shared" si="2"/>
        <v>0</v>
      </c>
      <c r="N155" s="7">
        <f t="shared" si="3"/>
        <v>0</v>
      </c>
      <c r="O155" s="7">
        <f t="shared" si="4"/>
        <v>0</v>
      </c>
      <c r="P155" s="7">
        <f t="shared" si="5"/>
        <v>0</v>
      </c>
      <c r="Q155" s="7">
        <f t="shared" si="6"/>
        <v>0</v>
      </c>
      <c r="R155" s="15"/>
      <c r="S155" s="15"/>
      <c r="T155" s="9">
        <f t="shared" si="7"/>
        <v>0</v>
      </c>
      <c r="U155" s="10"/>
      <c r="V155" s="9"/>
      <c r="W155" s="10"/>
      <c r="X155" s="13"/>
      <c r="Y155" s="13"/>
    </row>
    <row r="156" ht="31.5" customHeight="1">
      <c r="D156" s="6" t="str">
        <f t="shared" si="1"/>
        <v/>
      </c>
      <c r="H156" s="7"/>
      <c r="K156" s="7">
        <f t="shared" si="2"/>
        <v>0</v>
      </c>
      <c r="N156" s="7">
        <f t="shared" si="3"/>
        <v>0</v>
      </c>
      <c r="O156" s="7">
        <f t="shared" si="4"/>
        <v>0</v>
      </c>
      <c r="P156" s="7">
        <f t="shared" si="5"/>
        <v>0</v>
      </c>
      <c r="Q156" s="7">
        <f t="shared" si="6"/>
        <v>0</v>
      </c>
      <c r="R156" s="15"/>
      <c r="S156" s="15"/>
      <c r="T156" s="9">
        <f t="shared" si="7"/>
        <v>0</v>
      </c>
      <c r="U156" s="10"/>
      <c r="V156" s="9"/>
      <c r="W156" s="10"/>
      <c r="X156" s="13"/>
      <c r="Y156" s="13"/>
    </row>
    <row r="157" ht="31.5" customHeight="1">
      <c r="D157" s="6" t="str">
        <f t="shared" si="1"/>
        <v/>
      </c>
      <c r="H157" s="7"/>
      <c r="K157" s="7">
        <f t="shared" si="2"/>
        <v>0</v>
      </c>
      <c r="N157" s="7">
        <f t="shared" si="3"/>
        <v>0</v>
      </c>
      <c r="O157" s="7">
        <f t="shared" si="4"/>
        <v>0</v>
      </c>
      <c r="P157" s="7">
        <f t="shared" si="5"/>
        <v>0</v>
      </c>
      <c r="Q157" s="7">
        <f t="shared" si="6"/>
        <v>0</v>
      </c>
      <c r="R157" s="15"/>
      <c r="S157" s="15"/>
      <c r="T157" s="9">
        <f t="shared" si="7"/>
        <v>0</v>
      </c>
      <c r="U157" s="10"/>
      <c r="V157" s="9"/>
      <c r="W157" s="10"/>
      <c r="X157" s="13"/>
      <c r="Y157" s="13"/>
    </row>
    <row r="158" ht="31.5" customHeight="1">
      <c r="D158" s="6" t="str">
        <f t="shared" si="1"/>
        <v/>
      </c>
      <c r="H158" s="7"/>
      <c r="K158" s="7">
        <f t="shared" si="2"/>
        <v>0</v>
      </c>
      <c r="N158" s="7">
        <f t="shared" si="3"/>
        <v>0</v>
      </c>
      <c r="O158" s="7">
        <f t="shared" si="4"/>
        <v>0</v>
      </c>
      <c r="P158" s="7">
        <f t="shared" si="5"/>
        <v>0</v>
      </c>
      <c r="Q158" s="7">
        <f t="shared" si="6"/>
        <v>0</v>
      </c>
      <c r="R158" s="15"/>
      <c r="S158" s="15"/>
      <c r="T158" s="9">
        <f t="shared" si="7"/>
        <v>0</v>
      </c>
      <c r="U158" s="10"/>
      <c r="V158" s="9"/>
      <c r="W158" s="10"/>
      <c r="X158" s="13"/>
      <c r="Y158" s="13"/>
    </row>
    <row r="159" ht="31.5" customHeight="1">
      <c r="D159" s="6" t="str">
        <f t="shared" si="1"/>
        <v/>
      </c>
      <c r="H159" s="7"/>
      <c r="K159" s="7">
        <f t="shared" si="2"/>
        <v>0</v>
      </c>
      <c r="N159" s="7">
        <f t="shared" si="3"/>
        <v>0</v>
      </c>
      <c r="O159" s="7">
        <f t="shared" si="4"/>
        <v>0</v>
      </c>
      <c r="P159" s="7">
        <f t="shared" si="5"/>
        <v>0</v>
      </c>
      <c r="Q159" s="7">
        <f t="shared" si="6"/>
        <v>0</v>
      </c>
      <c r="R159" s="15"/>
      <c r="S159" s="15"/>
      <c r="T159" s="9">
        <f t="shared" si="7"/>
        <v>0</v>
      </c>
      <c r="U159" s="10"/>
      <c r="V159" s="9"/>
      <c r="W159" s="10"/>
      <c r="X159" s="13"/>
      <c r="Y159" s="13"/>
    </row>
    <row r="160" ht="31.5" customHeight="1">
      <c r="D160" s="6" t="str">
        <f t="shared" si="1"/>
        <v/>
      </c>
      <c r="H160" s="7"/>
      <c r="K160" s="7">
        <f t="shared" si="2"/>
        <v>0</v>
      </c>
      <c r="N160" s="7">
        <f t="shared" si="3"/>
        <v>0</v>
      </c>
      <c r="O160" s="7">
        <f t="shared" si="4"/>
        <v>0</v>
      </c>
      <c r="P160" s="7">
        <f t="shared" si="5"/>
        <v>0</v>
      </c>
      <c r="Q160" s="7">
        <f t="shared" si="6"/>
        <v>0</v>
      </c>
      <c r="R160" s="15"/>
      <c r="S160" s="15"/>
      <c r="T160" s="9">
        <f t="shared" si="7"/>
        <v>0</v>
      </c>
      <c r="U160" s="10"/>
      <c r="V160" s="9"/>
      <c r="W160" s="10"/>
      <c r="X160" s="13"/>
      <c r="Y160" s="13"/>
    </row>
    <row r="161" ht="31.5" customHeight="1">
      <c r="D161" s="6" t="str">
        <f t="shared" si="1"/>
        <v/>
      </c>
      <c r="H161" s="7"/>
      <c r="K161" s="7">
        <f t="shared" si="2"/>
        <v>0</v>
      </c>
      <c r="N161" s="7">
        <f t="shared" si="3"/>
        <v>0</v>
      </c>
      <c r="O161" s="7">
        <f t="shared" si="4"/>
        <v>0</v>
      </c>
      <c r="P161" s="7">
        <f t="shared" si="5"/>
        <v>0</v>
      </c>
      <c r="Q161" s="7">
        <f t="shared" si="6"/>
        <v>0</v>
      </c>
      <c r="R161" s="15"/>
      <c r="S161" s="15"/>
      <c r="T161" s="9">
        <f t="shared" si="7"/>
        <v>0</v>
      </c>
      <c r="U161" s="10"/>
      <c r="V161" s="9"/>
      <c r="W161" s="10"/>
      <c r="X161" s="13"/>
      <c r="Y161" s="13"/>
    </row>
    <row r="162" ht="31.5" customHeight="1">
      <c r="D162" s="6" t="str">
        <f t="shared" si="1"/>
        <v/>
      </c>
      <c r="H162" s="7"/>
      <c r="K162" s="7">
        <f t="shared" si="2"/>
        <v>0</v>
      </c>
      <c r="N162" s="7">
        <f t="shared" si="3"/>
        <v>0</v>
      </c>
      <c r="O162" s="7">
        <f t="shared" si="4"/>
        <v>0</v>
      </c>
      <c r="P162" s="7">
        <f t="shared" si="5"/>
        <v>0</v>
      </c>
      <c r="Q162" s="7">
        <f t="shared" si="6"/>
        <v>0</v>
      </c>
      <c r="R162" s="15"/>
      <c r="S162" s="15"/>
      <c r="T162" s="9">
        <f t="shared" si="7"/>
        <v>0</v>
      </c>
      <c r="U162" s="10"/>
      <c r="V162" s="9"/>
      <c r="W162" s="10"/>
      <c r="X162" s="13"/>
      <c r="Y162" s="13"/>
    </row>
    <row r="163" ht="31.5" customHeight="1">
      <c r="D163" s="6" t="str">
        <f t="shared" si="1"/>
        <v/>
      </c>
      <c r="H163" s="7"/>
      <c r="K163" s="7">
        <f t="shared" si="2"/>
        <v>0</v>
      </c>
      <c r="N163" s="7">
        <f t="shared" si="3"/>
        <v>0</v>
      </c>
      <c r="O163" s="7">
        <f t="shared" si="4"/>
        <v>0</v>
      </c>
      <c r="P163" s="7">
        <f t="shared" si="5"/>
        <v>0</v>
      </c>
      <c r="Q163" s="7">
        <f t="shared" si="6"/>
        <v>0</v>
      </c>
      <c r="R163" s="15"/>
      <c r="S163" s="15"/>
      <c r="T163" s="9">
        <f t="shared" si="7"/>
        <v>0</v>
      </c>
      <c r="U163" s="10"/>
      <c r="V163" s="9"/>
      <c r="W163" s="10"/>
      <c r="X163" s="13"/>
      <c r="Y163" s="13"/>
    </row>
    <row r="164" ht="31.5" customHeight="1">
      <c r="D164" s="6" t="str">
        <f t="shared" si="1"/>
        <v/>
      </c>
      <c r="H164" s="7"/>
      <c r="K164" s="7">
        <f t="shared" si="2"/>
        <v>0</v>
      </c>
      <c r="N164" s="7">
        <f t="shared" si="3"/>
        <v>0</v>
      </c>
      <c r="O164" s="7">
        <f t="shared" si="4"/>
        <v>0</v>
      </c>
      <c r="P164" s="7">
        <f t="shared" si="5"/>
        <v>0</v>
      </c>
      <c r="Q164" s="7">
        <f t="shared" si="6"/>
        <v>0</v>
      </c>
      <c r="R164" s="15"/>
      <c r="S164" s="15"/>
      <c r="T164" s="9">
        <f t="shared" si="7"/>
        <v>0</v>
      </c>
      <c r="U164" s="10"/>
      <c r="V164" s="9"/>
      <c r="W164" s="10"/>
      <c r="X164" s="13"/>
      <c r="Y164" s="13"/>
    </row>
    <row r="165" ht="31.5" customHeight="1">
      <c r="D165" s="6" t="str">
        <f t="shared" si="1"/>
        <v/>
      </c>
      <c r="H165" s="7"/>
      <c r="K165" s="7">
        <f t="shared" si="2"/>
        <v>0</v>
      </c>
      <c r="N165" s="7">
        <f t="shared" si="3"/>
        <v>0</v>
      </c>
      <c r="O165" s="7">
        <f t="shared" si="4"/>
        <v>0</v>
      </c>
      <c r="P165" s="7">
        <f t="shared" si="5"/>
        <v>0</v>
      </c>
      <c r="Q165" s="7">
        <f t="shared" si="6"/>
        <v>0</v>
      </c>
      <c r="R165" s="15"/>
      <c r="S165" s="15"/>
      <c r="T165" s="9">
        <f t="shared" si="7"/>
        <v>0</v>
      </c>
      <c r="U165" s="10"/>
      <c r="V165" s="9"/>
      <c r="W165" s="10"/>
      <c r="X165" s="13"/>
      <c r="Y165" s="13"/>
    </row>
    <row r="166" ht="31.5" customHeight="1">
      <c r="D166" s="6" t="str">
        <f t="shared" si="1"/>
        <v/>
      </c>
      <c r="H166" s="7"/>
      <c r="K166" s="7">
        <f t="shared" si="2"/>
        <v>0</v>
      </c>
      <c r="N166" s="7">
        <f t="shared" si="3"/>
        <v>0</v>
      </c>
      <c r="O166" s="7">
        <f t="shared" si="4"/>
        <v>0</v>
      </c>
      <c r="P166" s="7">
        <f t="shared" si="5"/>
        <v>0</v>
      </c>
      <c r="Q166" s="7">
        <f t="shared" si="6"/>
        <v>0</v>
      </c>
      <c r="R166" s="15"/>
      <c r="S166" s="15"/>
      <c r="T166" s="9">
        <f t="shared" si="7"/>
        <v>0</v>
      </c>
      <c r="U166" s="10"/>
      <c r="V166" s="9"/>
      <c r="W166" s="10"/>
      <c r="X166" s="13"/>
      <c r="Y166" s="13"/>
    </row>
    <row r="167" ht="31.5" customHeight="1">
      <c r="D167" s="6" t="str">
        <f t="shared" si="1"/>
        <v/>
      </c>
      <c r="H167" s="7"/>
      <c r="K167" s="7">
        <f t="shared" si="2"/>
        <v>0</v>
      </c>
      <c r="N167" s="7">
        <f t="shared" si="3"/>
        <v>0</v>
      </c>
      <c r="O167" s="7">
        <f t="shared" si="4"/>
        <v>0</v>
      </c>
      <c r="P167" s="7">
        <f t="shared" si="5"/>
        <v>0</v>
      </c>
      <c r="Q167" s="7">
        <f t="shared" si="6"/>
        <v>0</v>
      </c>
      <c r="R167" s="15"/>
      <c r="S167" s="15"/>
      <c r="T167" s="9">
        <f t="shared" si="7"/>
        <v>0</v>
      </c>
      <c r="U167" s="10"/>
      <c r="V167" s="9"/>
      <c r="W167" s="10"/>
      <c r="X167" s="13"/>
      <c r="Y167" s="13"/>
    </row>
    <row r="168" ht="31.5" customHeight="1">
      <c r="D168" s="6" t="str">
        <f t="shared" si="1"/>
        <v/>
      </c>
      <c r="H168" s="7"/>
      <c r="K168" s="7">
        <f t="shared" si="2"/>
        <v>0</v>
      </c>
      <c r="N168" s="7">
        <f t="shared" si="3"/>
        <v>0</v>
      </c>
      <c r="O168" s="7">
        <f t="shared" si="4"/>
        <v>0</v>
      </c>
      <c r="P168" s="7">
        <f t="shared" si="5"/>
        <v>0</v>
      </c>
      <c r="Q168" s="7">
        <f t="shared" si="6"/>
        <v>0</v>
      </c>
      <c r="R168" s="15"/>
      <c r="S168" s="15"/>
      <c r="T168" s="9">
        <f t="shared" si="7"/>
        <v>0</v>
      </c>
      <c r="U168" s="10"/>
      <c r="V168" s="9"/>
      <c r="W168" s="10"/>
      <c r="X168" s="13"/>
      <c r="Y168" s="13"/>
    </row>
    <row r="169" ht="31.5" customHeight="1">
      <c r="D169" s="6" t="str">
        <f t="shared" si="1"/>
        <v/>
      </c>
      <c r="H169" s="7"/>
      <c r="K169" s="7">
        <f t="shared" si="2"/>
        <v>0</v>
      </c>
      <c r="N169" s="7">
        <f t="shared" si="3"/>
        <v>0</v>
      </c>
      <c r="O169" s="7">
        <f t="shared" si="4"/>
        <v>0</v>
      </c>
      <c r="P169" s="7">
        <f t="shared" si="5"/>
        <v>0</v>
      </c>
      <c r="Q169" s="7">
        <f t="shared" si="6"/>
        <v>0</v>
      </c>
      <c r="R169" s="15"/>
      <c r="S169" s="15"/>
      <c r="T169" s="9">
        <f t="shared" si="7"/>
        <v>0</v>
      </c>
      <c r="U169" s="10"/>
      <c r="V169" s="9"/>
      <c r="W169" s="10"/>
      <c r="X169" s="13"/>
      <c r="Y169" s="13"/>
    </row>
    <row r="170" ht="31.5" customHeight="1">
      <c r="D170" s="6" t="str">
        <f t="shared" si="1"/>
        <v/>
      </c>
      <c r="H170" s="7"/>
      <c r="K170" s="7">
        <f t="shared" si="2"/>
        <v>0</v>
      </c>
      <c r="N170" s="7">
        <f t="shared" si="3"/>
        <v>0</v>
      </c>
      <c r="O170" s="7">
        <f t="shared" si="4"/>
        <v>0</v>
      </c>
      <c r="P170" s="7">
        <f t="shared" si="5"/>
        <v>0</v>
      </c>
      <c r="Q170" s="7">
        <f t="shared" si="6"/>
        <v>0</v>
      </c>
      <c r="R170" s="15"/>
      <c r="S170" s="15"/>
      <c r="T170" s="9">
        <f t="shared" si="7"/>
        <v>0</v>
      </c>
      <c r="U170" s="10"/>
      <c r="V170" s="9"/>
      <c r="W170" s="10"/>
      <c r="X170" s="13"/>
      <c r="Y170" s="13"/>
    </row>
    <row r="171" ht="31.5" customHeight="1">
      <c r="D171" s="6" t="str">
        <f t="shared" si="1"/>
        <v/>
      </c>
      <c r="H171" s="7"/>
      <c r="K171" s="7">
        <f t="shared" si="2"/>
        <v>0</v>
      </c>
      <c r="N171" s="7">
        <f t="shared" si="3"/>
        <v>0</v>
      </c>
      <c r="O171" s="7">
        <f t="shared" si="4"/>
        <v>0</v>
      </c>
      <c r="P171" s="7">
        <f t="shared" si="5"/>
        <v>0</v>
      </c>
      <c r="Q171" s="7">
        <f t="shared" si="6"/>
        <v>0</v>
      </c>
      <c r="R171" s="15"/>
      <c r="S171" s="15"/>
      <c r="T171" s="9">
        <f t="shared" si="7"/>
        <v>0</v>
      </c>
      <c r="U171" s="10"/>
      <c r="V171" s="9"/>
      <c r="W171" s="10"/>
      <c r="X171" s="13"/>
      <c r="Y171" s="13"/>
    </row>
    <row r="172" ht="31.5" customHeight="1">
      <c r="D172" s="6" t="str">
        <f t="shared" si="1"/>
        <v/>
      </c>
      <c r="H172" s="7"/>
      <c r="K172" s="7">
        <f t="shared" si="2"/>
        <v>0</v>
      </c>
      <c r="N172" s="7">
        <f t="shared" si="3"/>
        <v>0</v>
      </c>
      <c r="O172" s="7">
        <f t="shared" si="4"/>
        <v>0</v>
      </c>
      <c r="P172" s="7">
        <f t="shared" si="5"/>
        <v>0</v>
      </c>
      <c r="Q172" s="7">
        <f t="shared" si="6"/>
        <v>0</v>
      </c>
      <c r="R172" s="15"/>
      <c r="S172" s="15"/>
      <c r="T172" s="9">
        <f t="shared" si="7"/>
        <v>0</v>
      </c>
      <c r="U172" s="10"/>
      <c r="V172" s="9"/>
      <c r="W172" s="10"/>
      <c r="X172" s="13"/>
      <c r="Y172" s="13"/>
    </row>
    <row r="173" ht="31.5" customHeight="1">
      <c r="D173" s="6" t="str">
        <f t="shared" si="1"/>
        <v/>
      </c>
      <c r="H173" s="7"/>
      <c r="K173" s="7">
        <f t="shared" si="2"/>
        <v>0</v>
      </c>
      <c r="N173" s="7">
        <f t="shared" si="3"/>
        <v>0</v>
      </c>
      <c r="O173" s="7">
        <f t="shared" si="4"/>
        <v>0</v>
      </c>
      <c r="P173" s="7">
        <f t="shared" si="5"/>
        <v>0</v>
      </c>
      <c r="Q173" s="7">
        <f t="shared" si="6"/>
        <v>0</v>
      </c>
      <c r="R173" s="15"/>
      <c r="S173" s="15"/>
      <c r="T173" s="9">
        <f t="shared" si="7"/>
        <v>0</v>
      </c>
      <c r="U173" s="10"/>
      <c r="V173" s="9"/>
      <c r="W173" s="10"/>
      <c r="X173" s="13"/>
      <c r="Y173" s="13"/>
    </row>
    <row r="174" ht="31.5" customHeight="1">
      <c r="D174" s="6" t="str">
        <f t="shared" si="1"/>
        <v/>
      </c>
      <c r="H174" s="7"/>
      <c r="K174" s="7">
        <f t="shared" si="2"/>
        <v>0</v>
      </c>
      <c r="N174" s="7">
        <f t="shared" si="3"/>
        <v>0</v>
      </c>
      <c r="O174" s="7">
        <f t="shared" si="4"/>
        <v>0</v>
      </c>
      <c r="P174" s="7">
        <f t="shared" si="5"/>
        <v>0</v>
      </c>
      <c r="Q174" s="7">
        <f t="shared" si="6"/>
        <v>0</v>
      </c>
      <c r="R174" s="15"/>
      <c r="S174" s="15"/>
      <c r="T174" s="9">
        <f t="shared" si="7"/>
        <v>0</v>
      </c>
      <c r="U174" s="10"/>
      <c r="V174" s="9"/>
      <c r="W174" s="10"/>
      <c r="X174" s="13"/>
      <c r="Y174" s="13"/>
    </row>
    <row r="175" ht="31.5" customHeight="1">
      <c r="D175" s="6" t="str">
        <f t="shared" si="1"/>
        <v/>
      </c>
      <c r="H175" s="7"/>
      <c r="K175" s="7">
        <f t="shared" si="2"/>
        <v>0</v>
      </c>
      <c r="N175" s="7">
        <f t="shared" si="3"/>
        <v>0</v>
      </c>
      <c r="O175" s="7">
        <f t="shared" si="4"/>
        <v>0</v>
      </c>
      <c r="P175" s="7">
        <f t="shared" si="5"/>
        <v>0</v>
      </c>
      <c r="Q175" s="7">
        <f t="shared" si="6"/>
        <v>0</v>
      </c>
      <c r="R175" s="15"/>
      <c r="S175" s="15"/>
      <c r="T175" s="9">
        <f t="shared" si="7"/>
        <v>0</v>
      </c>
      <c r="U175" s="10"/>
      <c r="V175" s="9"/>
      <c r="W175" s="10"/>
      <c r="X175" s="13"/>
      <c r="Y175" s="13"/>
    </row>
    <row r="176" ht="31.5" customHeight="1">
      <c r="D176" s="6" t="str">
        <f t="shared" si="1"/>
        <v/>
      </c>
      <c r="H176" s="7"/>
      <c r="K176" s="7">
        <f t="shared" si="2"/>
        <v>0</v>
      </c>
      <c r="N176" s="7">
        <f t="shared" si="3"/>
        <v>0</v>
      </c>
      <c r="O176" s="7">
        <f t="shared" si="4"/>
        <v>0</v>
      </c>
      <c r="P176" s="7">
        <f t="shared" si="5"/>
        <v>0</v>
      </c>
      <c r="Q176" s="7">
        <f t="shared" si="6"/>
        <v>0</v>
      </c>
      <c r="R176" s="15"/>
      <c r="S176" s="15"/>
      <c r="T176" s="9">
        <f t="shared" si="7"/>
        <v>0</v>
      </c>
      <c r="U176" s="10"/>
      <c r="V176" s="9"/>
      <c r="W176" s="10"/>
      <c r="X176" s="13"/>
      <c r="Y176" s="13"/>
    </row>
    <row r="177" ht="31.5" customHeight="1">
      <c r="D177" s="6" t="str">
        <f t="shared" si="1"/>
        <v/>
      </c>
      <c r="H177" s="7"/>
      <c r="K177" s="7">
        <f t="shared" si="2"/>
        <v>0</v>
      </c>
      <c r="N177" s="7">
        <f t="shared" si="3"/>
        <v>0</v>
      </c>
      <c r="O177" s="7">
        <f t="shared" si="4"/>
        <v>0</v>
      </c>
      <c r="P177" s="7">
        <f t="shared" si="5"/>
        <v>0</v>
      </c>
      <c r="Q177" s="7">
        <f t="shared" si="6"/>
        <v>0</v>
      </c>
      <c r="R177" s="15"/>
      <c r="S177" s="15"/>
      <c r="T177" s="9">
        <f t="shared" si="7"/>
        <v>0</v>
      </c>
      <c r="U177" s="10"/>
      <c r="V177" s="9"/>
      <c r="W177" s="10"/>
      <c r="X177" s="13"/>
      <c r="Y177" s="13"/>
    </row>
    <row r="178" ht="31.5" customHeight="1">
      <c r="D178" s="6" t="str">
        <f t="shared" si="1"/>
        <v/>
      </c>
      <c r="H178" s="7"/>
      <c r="K178" s="7">
        <f t="shared" si="2"/>
        <v>0</v>
      </c>
      <c r="N178" s="7">
        <f t="shared" si="3"/>
        <v>0</v>
      </c>
      <c r="O178" s="7">
        <f t="shared" si="4"/>
        <v>0</v>
      </c>
      <c r="P178" s="7">
        <f t="shared" si="5"/>
        <v>0</v>
      </c>
      <c r="Q178" s="7">
        <f t="shared" si="6"/>
        <v>0</v>
      </c>
      <c r="R178" s="15"/>
      <c r="S178" s="15"/>
      <c r="T178" s="9">
        <f t="shared" si="7"/>
        <v>0</v>
      </c>
      <c r="U178" s="10"/>
      <c r="V178" s="9"/>
      <c r="W178" s="10"/>
      <c r="X178" s="13"/>
      <c r="Y178" s="13"/>
    </row>
    <row r="179" ht="31.5" customHeight="1">
      <c r="D179" s="6" t="str">
        <f t="shared" si="1"/>
        <v/>
      </c>
      <c r="H179" s="7"/>
      <c r="K179" s="7">
        <f t="shared" si="2"/>
        <v>0</v>
      </c>
      <c r="N179" s="7">
        <f t="shared" si="3"/>
        <v>0</v>
      </c>
      <c r="O179" s="7">
        <f t="shared" si="4"/>
        <v>0</v>
      </c>
      <c r="P179" s="7">
        <f t="shared" si="5"/>
        <v>0</v>
      </c>
      <c r="Q179" s="7">
        <f t="shared" si="6"/>
        <v>0</v>
      </c>
      <c r="R179" s="15"/>
      <c r="S179" s="15"/>
      <c r="T179" s="9">
        <f t="shared" si="7"/>
        <v>0</v>
      </c>
      <c r="U179" s="10"/>
      <c r="V179" s="9"/>
      <c r="W179" s="10"/>
      <c r="X179" s="13"/>
      <c r="Y179" s="13"/>
    </row>
    <row r="180" ht="31.5" customHeight="1">
      <c r="D180" s="6" t="str">
        <f t="shared" si="1"/>
        <v/>
      </c>
      <c r="H180" s="7"/>
      <c r="K180" s="7">
        <f t="shared" si="2"/>
        <v>0</v>
      </c>
      <c r="N180" s="7">
        <f t="shared" si="3"/>
        <v>0</v>
      </c>
      <c r="O180" s="7">
        <f t="shared" si="4"/>
        <v>0</v>
      </c>
      <c r="P180" s="7">
        <f t="shared" si="5"/>
        <v>0</v>
      </c>
      <c r="Q180" s="7">
        <f t="shared" si="6"/>
        <v>0</v>
      </c>
      <c r="R180" s="15"/>
      <c r="S180" s="15"/>
      <c r="T180" s="9">
        <f t="shared" si="7"/>
        <v>0</v>
      </c>
      <c r="U180" s="10"/>
      <c r="V180" s="9"/>
      <c r="W180" s="10"/>
      <c r="X180" s="13"/>
      <c r="Y180" s="13"/>
    </row>
    <row r="181" ht="31.5" customHeight="1">
      <c r="D181" s="6" t="str">
        <f t="shared" si="1"/>
        <v/>
      </c>
      <c r="H181" s="7"/>
      <c r="K181" s="7">
        <f t="shared" si="2"/>
        <v>0</v>
      </c>
      <c r="N181" s="7">
        <f t="shared" si="3"/>
        <v>0</v>
      </c>
      <c r="O181" s="7">
        <f t="shared" si="4"/>
        <v>0</v>
      </c>
      <c r="P181" s="7">
        <f t="shared" si="5"/>
        <v>0</v>
      </c>
      <c r="Q181" s="7">
        <f t="shared" si="6"/>
        <v>0</v>
      </c>
      <c r="R181" s="15"/>
      <c r="S181" s="15"/>
      <c r="T181" s="9">
        <f t="shared" si="7"/>
        <v>0</v>
      </c>
      <c r="U181" s="10"/>
      <c r="V181" s="9"/>
      <c r="W181" s="10"/>
      <c r="X181" s="13"/>
      <c r="Y181" s="13"/>
    </row>
    <row r="182" ht="31.5" customHeight="1">
      <c r="D182" s="6" t="str">
        <f t="shared" si="1"/>
        <v/>
      </c>
      <c r="H182" s="7"/>
      <c r="K182" s="7">
        <f t="shared" si="2"/>
        <v>0</v>
      </c>
      <c r="N182" s="7">
        <f t="shared" si="3"/>
        <v>0</v>
      </c>
      <c r="O182" s="7">
        <f t="shared" si="4"/>
        <v>0</v>
      </c>
      <c r="P182" s="7">
        <f t="shared" si="5"/>
        <v>0</v>
      </c>
      <c r="Q182" s="7">
        <f t="shared" si="6"/>
        <v>0</v>
      </c>
      <c r="R182" s="15"/>
      <c r="S182" s="15"/>
      <c r="T182" s="9">
        <f t="shared" si="7"/>
        <v>0</v>
      </c>
      <c r="U182" s="10"/>
      <c r="V182" s="9"/>
      <c r="W182" s="10"/>
      <c r="X182" s="13"/>
      <c r="Y182" s="13"/>
    </row>
    <row r="183" ht="31.5" customHeight="1">
      <c r="D183" s="6" t="str">
        <f t="shared" si="1"/>
        <v/>
      </c>
      <c r="H183" s="7"/>
      <c r="K183" s="7">
        <f t="shared" si="2"/>
        <v>0</v>
      </c>
      <c r="N183" s="7">
        <f t="shared" si="3"/>
        <v>0</v>
      </c>
      <c r="O183" s="7">
        <f t="shared" si="4"/>
        <v>0</v>
      </c>
      <c r="P183" s="7">
        <f t="shared" si="5"/>
        <v>0</v>
      </c>
      <c r="Q183" s="7">
        <f t="shared" si="6"/>
        <v>0</v>
      </c>
      <c r="R183" s="15"/>
      <c r="S183" s="15"/>
      <c r="T183" s="9">
        <f t="shared" si="7"/>
        <v>0</v>
      </c>
      <c r="U183" s="10"/>
      <c r="V183" s="9"/>
      <c r="W183" s="10"/>
      <c r="X183" s="13"/>
      <c r="Y183" s="13"/>
    </row>
    <row r="184" ht="31.5" customHeight="1">
      <c r="D184" s="6" t="str">
        <f t="shared" si="1"/>
        <v/>
      </c>
      <c r="H184" s="7"/>
      <c r="K184" s="7">
        <f t="shared" si="2"/>
        <v>0</v>
      </c>
      <c r="N184" s="7">
        <f t="shared" si="3"/>
        <v>0</v>
      </c>
      <c r="O184" s="7">
        <f t="shared" si="4"/>
        <v>0</v>
      </c>
      <c r="P184" s="7">
        <f t="shared" si="5"/>
        <v>0</v>
      </c>
      <c r="Q184" s="7">
        <f t="shared" si="6"/>
        <v>0</v>
      </c>
      <c r="R184" s="15"/>
      <c r="S184" s="15"/>
      <c r="T184" s="9">
        <f t="shared" si="7"/>
        <v>0</v>
      </c>
      <c r="U184" s="10"/>
      <c r="V184" s="9"/>
      <c r="W184" s="10"/>
      <c r="X184" s="13"/>
      <c r="Y184" s="13"/>
    </row>
    <row r="185" ht="31.5" customHeight="1">
      <c r="D185" s="6" t="str">
        <f t="shared" si="1"/>
        <v/>
      </c>
      <c r="H185" s="7"/>
      <c r="K185" s="7">
        <f t="shared" si="2"/>
        <v>0</v>
      </c>
      <c r="N185" s="7">
        <f t="shared" si="3"/>
        <v>0</v>
      </c>
      <c r="O185" s="7">
        <f t="shared" si="4"/>
        <v>0</v>
      </c>
      <c r="P185" s="7">
        <f t="shared" si="5"/>
        <v>0</v>
      </c>
      <c r="Q185" s="7">
        <f t="shared" si="6"/>
        <v>0</v>
      </c>
      <c r="R185" s="15"/>
      <c r="S185" s="15"/>
      <c r="T185" s="9">
        <f t="shared" si="7"/>
        <v>0</v>
      </c>
      <c r="U185" s="10"/>
      <c r="V185" s="9"/>
      <c r="W185" s="10"/>
      <c r="X185" s="13"/>
      <c r="Y185" s="13"/>
    </row>
    <row r="186" ht="31.5" customHeight="1">
      <c r="D186" s="6" t="str">
        <f t="shared" si="1"/>
        <v/>
      </c>
      <c r="H186" s="7"/>
      <c r="K186" s="7">
        <f t="shared" si="2"/>
        <v>0</v>
      </c>
      <c r="N186" s="7">
        <f t="shared" si="3"/>
        <v>0</v>
      </c>
      <c r="O186" s="7">
        <f t="shared" si="4"/>
        <v>0</v>
      </c>
      <c r="P186" s="7">
        <f t="shared" si="5"/>
        <v>0</v>
      </c>
      <c r="Q186" s="7">
        <f t="shared" si="6"/>
        <v>0</v>
      </c>
      <c r="R186" s="15"/>
      <c r="S186" s="15"/>
      <c r="T186" s="9">
        <f t="shared" si="7"/>
        <v>0</v>
      </c>
      <c r="U186" s="10"/>
      <c r="V186" s="9"/>
      <c r="W186" s="10"/>
      <c r="X186" s="13"/>
      <c r="Y186" s="13"/>
    </row>
    <row r="187" ht="31.5" customHeight="1">
      <c r="D187" s="6" t="str">
        <f t="shared" si="1"/>
        <v/>
      </c>
      <c r="H187" s="7"/>
      <c r="K187" s="7">
        <f t="shared" si="2"/>
        <v>0</v>
      </c>
      <c r="N187" s="7">
        <f t="shared" si="3"/>
        <v>0</v>
      </c>
      <c r="O187" s="7">
        <f t="shared" si="4"/>
        <v>0</v>
      </c>
      <c r="P187" s="7">
        <f t="shared" si="5"/>
        <v>0</v>
      </c>
      <c r="Q187" s="7">
        <f t="shared" si="6"/>
        <v>0</v>
      </c>
      <c r="R187" s="15"/>
      <c r="S187" s="15"/>
      <c r="T187" s="9">
        <f t="shared" si="7"/>
        <v>0</v>
      </c>
      <c r="U187" s="10"/>
      <c r="V187" s="9"/>
      <c r="W187" s="10"/>
      <c r="X187" s="13"/>
      <c r="Y187" s="13"/>
    </row>
    <row r="188" ht="31.5" customHeight="1">
      <c r="D188" s="6" t="str">
        <f t="shared" si="1"/>
        <v/>
      </c>
      <c r="H188" s="7"/>
      <c r="K188" s="7">
        <f t="shared" si="2"/>
        <v>0</v>
      </c>
      <c r="N188" s="7">
        <f t="shared" si="3"/>
        <v>0</v>
      </c>
      <c r="O188" s="7">
        <f t="shared" si="4"/>
        <v>0</v>
      </c>
      <c r="P188" s="7">
        <f t="shared" si="5"/>
        <v>0</v>
      </c>
      <c r="Q188" s="7">
        <f t="shared" si="6"/>
        <v>0</v>
      </c>
      <c r="R188" s="15"/>
      <c r="S188" s="15"/>
      <c r="T188" s="9">
        <f t="shared" si="7"/>
        <v>0</v>
      </c>
      <c r="U188" s="10"/>
      <c r="V188" s="9"/>
      <c r="W188" s="10"/>
      <c r="X188" s="13"/>
      <c r="Y188" s="13"/>
    </row>
    <row r="189" ht="31.5" customHeight="1">
      <c r="D189" s="6" t="str">
        <f t="shared" si="1"/>
        <v/>
      </c>
      <c r="H189" s="7"/>
      <c r="K189" s="7">
        <f t="shared" si="2"/>
        <v>0</v>
      </c>
      <c r="N189" s="7">
        <f t="shared" si="3"/>
        <v>0</v>
      </c>
      <c r="O189" s="7">
        <f t="shared" si="4"/>
        <v>0</v>
      </c>
      <c r="P189" s="7">
        <f t="shared" si="5"/>
        <v>0</v>
      </c>
      <c r="Q189" s="7">
        <f t="shared" si="6"/>
        <v>0</v>
      </c>
      <c r="R189" s="15"/>
      <c r="S189" s="15"/>
      <c r="T189" s="9">
        <f t="shared" si="7"/>
        <v>0</v>
      </c>
      <c r="U189" s="10"/>
      <c r="V189" s="9"/>
      <c r="W189" s="10"/>
      <c r="X189" s="13"/>
      <c r="Y189" s="13"/>
    </row>
    <row r="190" ht="31.5" customHeight="1">
      <c r="D190" s="6" t="str">
        <f t="shared" si="1"/>
        <v/>
      </c>
      <c r="H190" s="7"/>
      <c r="K190" s="7">
        <f t="shared" si="2"/>
        <v>0</v>
      </c>
      <c r="N190" s="7">
        <f t="shared" si="3"/>
        <v>0</v>
      </c>
      <c r="O190" s="7">
        <f t="shared" si="4"/>
        <v>0</v>
      </c>
      <c r="P190" s="7">
        <f t="shared" si="5"/>
        <v>0</v>
      </c>
      <c r="Q190" s="7">
        <f t="shared" si="6"/>
        <v>0</v>
      </c>
      <c r="R190" s="15"/>
      <c r="S190" s="15"/>
      <c r="T190" s="9">
        <f t="shared" si="7"/>
        <v>0</v>
      </c>
      <c r="U190" s="10"/>
      <c r="V190" s="9"/>
      <c r="W190" s="10"/>
      <c r="X190" s="13"/>
      <c r="Y190" s="13"/>
    </row>
    <row r="191" ht="31.5" customHeight="1">
      <c r="D191" s="6" t="str">
        <f t="shared" si="1"/>
        <v/>
      </c>
      <c r="H191" s="7"/>
      <c r="K191" s="7">
        <f t="shared" si="2"/>
        <v>0</v>
      </c>
      <c r="N191" s="7">
        <f t="shared" si="3"/>
        <v>0</v>
      </c>
      <c r="O191" s="7">
        <f t="shared" si="4"/>
        <v>0</v>
      </c>
      <c r="P191" s="7">
        <f t="shared" si="5"/>
        <v>0</v>
      </c>
      <c r="Q191" s="7">
        <f t="shared" si="6"/>
        <v>0</v>
      </c>
      <c r="R191" s="15"/>
      <c r="S191" s="15"/>
      <c r="T191" s="9">
        <f t="shared" si="7"/>
        <v>0</v>
      </c>
      <c r="U191" s="10"/>
      <c r="V191" s="9"/>
      <c r="W191" s="10"/>
      <c r="X191" s="13"/>
      <c r="Y191" s="13"/>
    </row>
    <row r="192" ht="31.5" customHeight="1">
      <c r="D192" s="6" t="str">
        <f t="shared" si="1"/>
        <v/>
      </c>
      <c r="H192" s="7"/>
      <c r="K192" s="7">
        <f t="shared" si="2"/>
        <v>0</v>
      </c>
      <c r="N192" s="7">
        <f t="shared" si="3"/>
        <v>0</v>
      </c>
      <c r="O192" s="7">
        <f t="shared" si="4"/>
        <v>0</v>
      </c>
      <c r="P192" s="7">
        <f t="shared" si="5"/>
        <v>0</v>
      </c>
      <c r="Q192" s="7">
        <f t="shared" si="6"/>
        <v>0</v>
      </c>
      <c r="R192" s="15"/>
      <c r="S192" s="15"/>
      <c r="T192" s="9">
        <f t="shared" si="7"/>
        <v>0</v>
      </c>
      <c r="U192" s="10"/>
      <c r="V192" s="9"/>
      <c r="W192" s="10"/>
      <c r="X192" s="13"/>
      <c r="Y192" s="13"/>
    </row>
    <row r="193" ht="31.5" customHeight="1">
      <c r="D193" s="6" t="str">
        <f t="shared" si="1"/>
        <v/>
      </c>
      <c r="H193" s="7"/>
      <c r="K193" s="7">
        <f t="shared" si="2"/>
        <v>0</v>
      </c>
      <c r="N193" s="7">
        <f t="shared" si="3"/>
        <v>0</v>
      </c>
      <c r="O193" s="7">
        <f t="shared" si="4"/>
        <v>0</v>
      </c>
      <c r="P193" s="7">
        <f t="shared" si="5"/>
        <v>0</v>
      </c>
      <c r="Q193" s="7">
        <f t="shared" si="6"/>
        <v>0</v>
      </c>
      <c r="R193" s="15"/>
      <c r="S193" s="15"/>
      <c r="T193" s="9">
        <f t="shared" si="7"/>
        <v>0</v>
      </c>
      <c r="U193" s="10"/>
      <c r="V193" s="9"/>
      <c r="W193" s="10"/>
      <c r="X193" s="13"/>
      <c r="Y193" s="13"/>
    </row>
    <row r="194" ht="31.5" customHeight="1">
      <c r="D194" s="6" t="str">
        <f t="shared" si="1"/>
        <v/>
      </c>
      <c r="H194" s="7"/>
      <c r="K194" s="7">
        <f t="shared" si="2"/>
        <v>0</v>
      </c>
      <c r="N194" s="7">
        <f t="shared" si="3"/>
        <v>0</v>
      </c>
      <c r="O194" s="7">
        <f t="shared" si="4"/>
        <v>0</v>
      </c>
      <c r="P194" s="7">
        <f t="shared" si="5"/>
        <v>0</v>
      </c>
      <c r="Q194" s="7">
        <f t="shared" si="6"/>
        <v>0</v>
      </c>
      <c r="R194" s="15"/>
      <c r="S194" s="15"/>
      <c r="T194" s="9">
        <f t="shared" si="7"/>
        <v>0</v>
      </c>
      <c r="U194" s="10"/>
      <c r="V194" s="9"/>
      <c r="W194" s="10"/>
      <c r="X194" s="13"/>
      <c r="Y194" s="13"/>
    </row>
    <row r="195" ht="31.5" customHeight="1">
      <c r="D195" s="6" t="str">
        <f t="shared" si="1"/>
        <v/>
      </c>
      <c r="H195" s="7"/>
      <c r="K195" s="7">
        <f t="shared" si="2"/>
        <v>0</v>
      </c>
      <c r="N195" s="7">
        <f t="shared" si="3"/>
        <v>0</v>
      </c>
      <c r="O195" s="7">
        <f t="shared" si="4"/>
        <v>0</v>
      </c>
      <c r="P195" s="7">
        <f t="shared" si="5"/>
        <v>0</v>
      </c>
      <c r="Q195" s="7">
        <f t="shared" si="6"/>
        <v>0</v>
      </c>
      <c r="R195" s="15"/>
      <c r="S195" s="15"/>
      <c r="T195" s="9">
        <f t="shared" si="7"/>
        <v>0</v>
      </c>
      <c r="U195" s="10"/>
      <c r="V195" s="9"/>
      <c r="W195" s="10"/>
      <c r="X195" s="13"/>
      <c r="Y195" s="13"/>
    </row>
    <row r="196" ht="31.5" customHeight="1">
      <c r="D196" s="6" t="str">
        <f t="shared" si="1"/>
        <v/>
      </c>
      <c r="H196" s="7"/>
      <c r="K196" s="7">
        <f t="shared" si="2"/>
        <v>0</v>
      </c>
      <c r="N196" s="7">
        <f t="shared" si="3"/>
        <v>0</v>
      </c>
      <c r="O196" s="7">
        <f t="shared" si="4"/>
        <v>0</v>
      </c>
      <c r="P196" s="7">
        <f t="shared" si="5"/>
        <v>0</v>
      </c>
      <c r="Q196" s="7">
        <f t="shared" si="6"/>
        <v>0</v>
      </c>
      <c r="R196" s="15"/>
      <c r="S196" s="15"/>
      <c r="T196" s="9">
        <f t="shared" si="7"/>
        <v>0</v>
      </c>
      <c r="U196" s="10"/>
      <c r="V196" s="9"/>
      <c r="W196" s="10"/>
      <c r="X196" s="13"/>
      <c r="Y196" s="13"/>
    </row>
    <row r="197" ht="31.5" customHeight="1">
      <c r="D197" s="6" t="str">
        <f t="shared" si="1"/>
        <v/>
      </c>
      <c r="H197" s="7"/>
      <c r="K197" s="7">
        <f t="shared" si="2"/>
        <v>0</v>
      </c>
      <c r="N197" s="7">
        <f t="shared" si="3"/>
        <v>0</v>
      </c>
      <c r="O197" s="7">
        <f t="shared" si="4"/>
        <v>0</v>
      </c>
      <c r="P197" s="7">
        <f t="shared" si="5"/>
        <v>0</v>
      </c>
      <c r="Q197" s="7">
        <f t="shared" si="6"/>
        <v>0</v>
      </c>
      <c r="R197" s="15"/>
      <c r="S197" s="15"/>
      <c r="T197" s="9">
        <f t="shared" si="7"/>
        <v>0</v>
      </c>
      <c r="U197" s="10"/>
      <c r="V197" s="9"/>
      <c r="W197" s="10"/>
      <c r="X197" s="13"/>
      <c r="Y197" s="13"/>
    </row>
    <row r="198" ht="31.5" customHeight="1">
      <c r="D198" s="6" t="str">
        <f t="shared" si="1"/>
        <v/>
      </c>
      <c r="H198" s="7"/>
      <c r="K198" s="7">
        <f t="shared" si="2"/>
        <v>0</v>
      </c>
      <c r="N198" s="7">
        <f t="shared" si="3"/>
        <v>0</v>
      </c>
      <c r="O198" s="7">
        <f t="shared" si="4"/>
        <v>0</v>
      </c>
      <c r="P198" s="7">
        <f t="shared" si="5"/>
        <v>0</v>
      </c>
      <c r="Q198" s="7">
        <f t="shared" si="6"/>
        <v>0</v>
      </c>
      <c r="R198" s="15"/>
      <c r="S198" s="15"/>
      <c r="T198" s="9">
        <f t="shared" si="7"/>
        <v>0</v>
      </c>
      <c r="U198" s="10"/>
      <c r="V198" s="9"/>
      <c r="W198" s="10"/>
      <c r="X198" s="13"/>
      <c r="Y198" s="13"/>
    </row>
    <row r="199" ht="31.5" customHeight="1">
      <c r="D199" s="6" t="str">
        <f t="shared" si="1"/>
        <v/>
      </c>
      <c r="H199" s="7"/>
      <c r="K199" s="7">
        <f t="shared" si="2"/>
        <v>0</v>
      </c>
      <c r="N199" s="7">
        <f t="shared" si="3"/>
        <v>0</v>
      </c>
      <c r="O199" s="7">
        <f t="shared" si="4"/>
        <v>0</v>
      </c>
      <c r="P199" s="7">
        <f t="shared" si="5"/>
        <v>0</v>
      </c>
      <c r="Q199" s="7">
        <f t="shared" si="6"/>
        <v>0</v>
      </c>
      <c r="R199" s="15"/>
      <c r="S199" s="15"/>
      <c r="T199" s="9">
        <f t="shared" si="7"/>
        <v>0</v>
      </c>
      <c r="U199" s="10"/>
      <c r="V199" s="9"/>
      <c r="W199" s="10"/>
      <c r="X199" s="13"/>
      <c r="Y199" s="13"/>
    </row>
    <row r="200" ht="31.5" customHeight="1">
      <c r="D200" s="6" t="str">
        <f t="shared" si="1"/>
        <v/>
      </c>
      <c r="H200" s="7"/>
      <c r="K200" s="7">
        <f t="shared" si="2"/>
        <v>0</v>
      </c>
      <c r="N200" s="7">
        <f t="shared" si="3"/>
        <v>0</v>
      </c>
      <c r="O200" s="7">
        <f t="shared" si="4"/>
        <v>0</v>
      </c>
      <c r="P200" s="7">
        <f t="shared" si="5"/>
        <v>0</v>
      </c>
      <c r="Q200" s="7">
        <f t="shared" si="6"/>
        <v>0</v>
      </c>
      <c r="R200" s="15"/>
      <c r="S200" s="15"/>
      <c r="T200" s="9">
        <f t="shared" si="7"/>
        <v>0</v>
      </c>
      <c r="U200" s="10"/>
      <c r="V200" s="9"/>
      <c r="W200" s="10"/>
      <c r="X200" s="13"/>
      <c r="Y200" s="13"/>
    </row>
    <row r="201" ht="31.5" customHeight="1">
      <c r="D201" s="6" t="str">
        <f t="shared" si="1"/>
        <v/>
      </c>
      <c r="H201" s="7"/>
      <c r="K201" s="7">
        <f t="shared" si="2"/>
        <v>0</v>
      </c>
      <c r="N201" s="7">
        <f t="shared" si="3"/>
        <v>0</v>
      </c>
      <c r="O201" s="7">
        <f t="shared" si="4"/>
        <v>0</v>
      </c>
      <c r="P201" s="7">
        <f t="shared" si="5"/>
        <v>0</v>
      </c>
      <c r="Q201" s="7">
        <f t="shared" si="6"/>
        <v>0</v>
      </c>
      <c r="R201" s="15"/>
      <c r="S201" s="15"/>
      <c r="T201" s="9">
        <f t="shared" si="7"/>
        <v>0</v>
      </c>
      <c r="U201" s="10"/>
      <c r="V201" s="9"/>
      <c r="W201" s="10"/>
      <c r="X201" s="13"/>
      <c r="Y201" s="13"/>
    </row>
    <row r="202" ht="31.5" customHeight="1">
      <c r="D202" s="6" t="str">
        <f t="shared" si="1"/>
        <v/>
      </c>
      <c r="H202" s="7"/>
      <c r="K202" s="7">
        <f t="shared" si="2"/>
        <v>0</v>
      </c>
      <c r="N202" s="7">
        <f t="shared" si="3"/>
        <v>0</v>
      </c>
      <c r="O202" s="7">
        <f t="shared" si="4"/>
        <v>0</v>
      </c>
      <c r="P202" s="7">
        <f t="shared" si="5"/>
        <v>0</v>
      </c>
      <c r="Q202" s="7">
        <f t="shared" si="6"/>
        <v>0</v>
      </c>
      <c r="R202" s="15"/>
      <c r="S202" s="15"/>
      <c r="T202" s="9">
        <f t="shared" si="7"/>
        <v>0</v>
      </c>
      <c r="U202" s="10"/>
      <c r="V202" s="9"/>
      <c r="W202" s="10"/>
      <c r="X202" s="13"/>
      <c r="Y202" s="13"/>
    </row>
    <row r="203" ht="31.5" customHeight="1">
      <c r="D203" s="6" t="str">
        <f t="shared" si="1"/>
        <v/>
      </c>
      <c r="H203" s="7"/>
      <c r="K203" s="7">
        <f t="shared" si="2"/>
        <v>0</v>
      </c>
      <c r="N203" s="7">
        <f t="shared" si="3"/>
        <v>0</v>
      </c>
      <c r="O203" s="7">
        <f t="shared" si="4"/>
        <v>0</v>
      </c>
      <c r="P203" s="7">
        <f t="shared" si="5"/>
        <v>0</v>
      </c>
      <c r="Q203" s="7">
        <f t="shared" si="6"/>
        <v>0</v>
      </c>
      <c r="R203" s="15"/>
      <c r="S203" s="15"/>
      <c r="T203" s="9">
        <f t="shared" si="7"/>
        <v>0</v>
      </c>
      <c r="U203" s="10"/>
      <c r="V203" s="9"/>
      <c r="W203" s="10"/>
      <c r="X203" s="13"/>
      <c r="Y203" s="13"/>
    </row>
    <row r="204" ht="31.5" customHeight="1">
      <c r="D204" s="6" t="str">
        <f t="shared" si="1"/>
        <v/>
      </c>
      <c r="H204" s="7"/>
      <c r="K204" s="7">
        <f t="shared" si="2"/>
        <v>0</v>
      </c>
      <c r="N204" s="7">
        <f t="shared" si="3"/>
        <v>0</v>
      </c>
      <c r="O204" s="7">
        <f t="shared" si="4"/>
        <v>0</v>
      </c>
      <c r="P204" s="7">
        <f t="shared" si="5"/>
        <v>0</v>
      </c>
      <c r="Q204" s="7">
        <f t="shared" si="6"/>
        <v>0</v>
      </c>
      <c r="R204" s="15"/>
      <c r="S204" s="15"/>
      <c r="T204" s="9">
        <f t="shared" si="7"/>
        <v>0</v>
      </c>
      <c r="U204" s="10"/>
      <c r="V204" s="9"/>
      <c r="W204" s="10"/>
      <c r="X204" s="13"/>
      <c r="Y204" s="13"/>
    </row>
    <row r="205" ht="31.5" customHeight="1">
      <c r="D205" s="6" t="str">
        <f t="shared" si="1"/>
        <v/>
      </c>
      <c r="H205" s="7"/>
      <c r="K205" s="7">
        <f t="shared" si="2"/>
        <v>0</v>
      </c>
      <c r="N205" s="7">
        <f t="shared" si="3"/>
        <v>0</v>
      </c>
      <c r="O205" s="7">
        <f t="shared" si="4"/>
        <v>0</v>
      </c>
      <c r="P205" s="7">
        <f t="shared" si="5"/>
        <v>0</v>
      </c>
      <c r="Q205" s="7">
        <f t="shared" si="6"/>
        <v>0</v>
      </c>
      <c r="R205" s="15"/>
      <c r="S205" s="15"/>
      <c r="T205" s="9">
        <f t="shared" si="7"/>
        <v>0</v>
      </c>
      <c r="U205" s="10"/>
      <c r="V205" s="9"/>
      <c r="W205" s="10"/>
      <c r="X205" s="13"/>
      <c r="Y205" s="13"/>
    </row>
    <row r="206" ht="31.5" customHeight="1">
      <c r="D206" s="6" t="str">
        <f t="shared" si="1"/>
        <v/>
      </c>
      <c r="H206" s="7"/>
      <c r="K206" s="7">
        <f t="shared" si="2"/>
        <v>0</v>
      </c>
      <c r="N206" s="7">
        <f t="shared" si="3"/>
        <v>0</v>
      </c>
      <c r="O206" s="7">
        <f t="shared" si="4"/>
        <v>0</v>
      </c>
      <c r="P206" s="7">
        <f t="shared" si="5"/>
        <v>0</v>
      </c>
      <c r="Q206" s="7">
        <f t="shared" si="6"/>
        <v>0</v>
      </c>
      <c r="R206" s="15"/>
      <c r="S206" s="15"/>
      <c r="T206" s="9">
        <f t="shared" si="7"/>
        <v>0</v>
      </c>
      <c r="U206" s="10"/>
      <c r="V206" s="9"/>
      <c r="W206" s="10"/>
      <c r="X206" s="13"/>
      <c r="Y206" s="13"/>
    </row>
    <row r="207" ht="31.5" customHeight="1">
      <c r="D207" s="6" t="str">
        <f t="shared" si="1"/>
        <v/>
      </c>
      <c r="H207" s="7"/>
      <c r="K207" s="7">
        <f t="shared" si="2"/>
        <v>0</v>
      </c>
      <c r="N207" s="7">
        <f t="shared" si="3"/>
        <v>0</v>
      </c>
      <c r="O207" s="7">
        <f t="shared" si="4"/>
        <v>0</v>
      </c>
      <c r="P207" s="7">
        <f t="shared" si="5"/>
        <v>0</v>
      </c>
      <c r="Q207" s="7">
        <f t="shared" si="6"/>
        <v>0</v>
      </c>
      <c r="R207" s="15"/>
      <c r="S207" s="15"/>
      <c r="T207" s="9">
        <f t="shared" si="7"/>
        <v>0</v>
      </c>
      <c r="U207" s="10"/>
      <c r="V207" s="9"/>
      <c r="W207" s="10"/>
      <c r="X207" s="13"/>
      <c r="Y207" s="13"/>
    </row>
    <row r="208" ht="31.5" customHeight="1">
      <c r="D208" s="6" t="str">
        <f t="shared" si="1"/>
        <v/>
      </c>
      <c r="H208" s="7"/>
      <c r="K208" s="7">
        <f t="shared" si="2"/>
        <v>0</v>
      </c>
      <c r="N208" s="7">
        <f t="shared" si="3"/>
        <v>0</v>
      </c>
      <c r="O208" s="7">
        <f t="shared" si="4"/>
        <v>0</v>
      </c>
      <c r="P208" s="7">
        <f t="shared" si="5"/>
        <v>0</v>
      </c>
      <c r="Q208" s="7">
        <f t="shared" si="6"/>
        <v>0</v>
      </c>
      <c r="R208" s="15"/>
      <c r="S208" s="15"/>
      <c r="T208" s="9">
        <f t="shared" si="7"/>
        <v>0</v>
      </c>
      <c r="U208" s="10"/>
      <c r="V208" s="9"/>
      <c r="W208" s="10"/>
      <c r="X208" s="13"/>
      <c r="Y208" s="13"/>
    </row>
    <row r="209" ht="31.5" customHeight="1">
      <c r="D209" s="6" t="str">
        <f t="shared" si="1"/>
        <v/>
      </c>
      <c r="H209" s="7"/>
      <c r="K209" s="7">
        <f t="shared" si="2"/>
        <v>0</v>
      </c>
      <c r="N209" s="7">
        <f t="shared" si="3"/>
        <v>0</v>
      </c>
      <c r="O209" s="7">
        <f t="shared" si="4"/>
        <v>0</v>
      </c>
      <c r="P209" s="7">
        <f t="shared" si="5"/>
        <v>0</v>
      </c>
      <c r="Q209" s="7">
        <f t="shared" si="6"/>
        <v>0</v>
      </c>
      <c r="R209" s="15"/>
      <c r="S209" s="15"/>
      <c r="T209" s="9">
        <f t="shared" si="7"/>
        <v>0</v>
      </c>
      <c r="U209" s="10"/>
      <c r="V209" s="9"/>
      <c r="W209" s="10"/>
      <c r="X209" s="13"/>
      <c r="Y209" s="13"/>
    </row>
    <row r="210" ht="31.5" customHeight="1">
      <c r="D210" s="6" t="str">
        <f t="shared" si="1"/>
        <v/>
      </c>
      <c r="H210" s="7"/>
      <c r="K210" s="7">
        <f t="shared" si="2"/>
        <v>0</v>
      </c>
      <c r="N210" s="7">
        <f t="shared" si="3"/>
        <v>0</v>
      </c>
      <c r="O210" s="7">
        <f t="shared" si="4"/>
        <v>0</v>
      </c>
      <c r="P210" s="7">
        <f t="shared" si="5"/>
        <v>0</v>
      </c>
      <c r="Q210" s="7">
        <f t="shared" si="6"/>
        <v>0</v>
      </c>
      <c r="R210" s="15"/>
      <c r="S210" s="15"/>
      <c r="T210" s="9">
        <f t="shared" si="7"/>
        <v>0</v>
      </c>
      <c r="U210" s="10"/>
      <c r="V210" s="9"/>
      <c r="W210" s="10"/>
      <c r="X210" s="13"/>
      <c r="Y210" s="13"/>
    </row>
    <row r="211" ht="31.5" customHeight="1">
      <c r="D211" s="6" t="str">
        <f t="shared" si="1"/>
        <v/>
      </c>
      <c r="H211" s="7"/>
      <c r="K211" s="7">
        <f t="shared" si="2"/>
        <v>0</v>
      </c>
      <c r="N211" s="7">
        <f t="shared" si="3"/>
        <v>0</v>
      </c>
      <c r="O211" s="7">
        <f t="shared" si="4"/>
        <v>0</v>
      </c>
      <c r="P211" s="7">
        <f t="shared" si="5"/>
        <v>0</v>
      </c>
      <c r="Q211" s="7">
        <f t="shared" si="6"/>
        <v>0</v>
      </c>
      <c r="R211" s="15"/>
      <c r="S211" s="15"/>
      <c r="T211" s="9">
        <f t="shared" si="7"/>
        <v>0</v>
      </c>
      <c r="U211" s="10"/>
      <c r="V211" s="9"/>
      <c r="W211" s="10"/>
      <c r="X211" s="13"/>
      <c r="Y211" s="13"/>
    </row>
    <row r="212" ht="31.5" customHeight="1">
      <c r="D212" s="6" t="str">
        <f t="shared" si="1"/>
        <v/>
      </c>
      <c r="H212" s="7"/>
      <c r="K212" s="7">
        <f t="shared" si="2"/>
        <v>0</v>
      </c>
      <c r="N212" s="7">
        <f t="shared" si="3"/>
        <v>0</v>
      </c>
      <c r="O212" s="7">
        <f t="shared" si="4"/>
        <v>0</v>
      </c>
      <c r="P212" s="7">
        <f t="shared" si="5"/>
        <v>0</v>
      </c>
      <c r="Q212" s="7">
        <f t="shared" si="6"/>
        <v>0</v>
      </c>
      <c r="R212" s="15"/>
      <c r="S212" s="15"/>
      <c r="T212" s="9">
        <f t="shared" si="7"/>
        <v>0</v>
      </c>
      <c r="U212" s="10"/>
      <c r="V212" s="9"/>
      <c r="W212" s="10"/>
      <c r="X212" s="13"/>
      <c r="Y212" s="13"/>
    </row>
    <row r="213" ht="31.5" customHeight="1">
      <c r="D213" s="6" t="str">
        <f t="shared" si="1"/>
        <v/>
      </c>
      <c r="H213" s="7"/>
      <c r="K213" s="7">
        <f t="shared" si="2"/>
        <v>0</v>
      </c>
      <c r="N213" s="7">
        <f t="shared" si="3"/>
        <v>0</v>
      </c>
      <c r="O213" s="7">
        <f t="shared" si="4"/>
        <v>0</v>
      </c>
      <c r="P213" s="7">
        <f t="shared" si="5"/>
        <v>0</v>
      </c>
      <c r="Q213" s="7">
        <f t="shared" si="6"/>
        <v>0</v>
      </c>
      <c r="R213" s="15"/>
      <c r="S213" s="15"/>
      <c r="T213" s="9">
        <f t="shared" si="7"/>
        <v>0</v>
      </c>
      <c r="U213" s="10"/>
      <c r="V213" s="9"/>
      <c r="W213" s="10"/>
      <c r="X213" s="13"/>
      <c r="Y213" s="13"/>
    </row>
    <row r="214" ht="31.5" customHeight="1">
      <c r="D214" s="6" t="str">
        <f t="shared" si="1"/>
        <v/>
      </c>
      <c r="H214" s="7"/>
      <c r="K214" s="7">
        <f t="shared" si="2"/>
        <v>0</v>
      </c>
      <c r="N214" s="7">
        <f t="shared" si="3"/>
        <v>0</v>
      </c>
      <c r="O214" s="7">
        <f t="shared" si="4"/>
        <v>0</v>
      </c>
      <c r="P214" s="7">
        <f t="shared" si="5"/>
        <v>0</v>
      </c>
      <c r="Q214" s="7">
        <f t="shared" si="6"/>
        <v>0</v>
      </c>
      <c r="R214" s="15"/>
      <c r="S214" s="15"/>
      <c r="T214" s="9">
        <f t="shared" si="7"/>
        <v>0</v>
      </c>
      <c r="U214" s="10"/>
      <c r="V214" s="9"/>
      <c r="W214" s="10"/>
      <c r="X214" s="13"/>
      <c r="Y214" s="13"/>
    </row>
    <row r="215" ht="31.5" customHeight="1">
      <c r="D215" s="6" t="str">
        <f t="shared" si="1"/>
        <v/>
      </c>
      <c r="H215" s="7"/>
      <c r="K215" s="7">
        <f t="shared" si="2"/>
        <v>0</v>
      </c>
      <c r="N215" s="7">
        <f t="shared" si="3"/>
        <v>0</v>
      </c>
      <c r="O215" s="7">
        <f t="shared" si="4"/>
        <v>0</v>
      </c>
      <c r="P215" s="7">
        <f t="shared" si="5"/>
        <v>0</v>
      </c>
      <c r="Q215" s="7">
        <f t="shared" si="6"/>
        <v>0</v>
      </c>
      <c r="R215" s="15"/>
      <c r="S215" s="15"/>
      <c r="T215" s="9">
        <f t="shared" si="7"/>
        <v>0</v>
      </c>
      <c r="U215" s="10"/>
      <c r="V215" s="9"/>
      <c r="W215" s="10"/>
      <c r="X215" s="13"/>
      <c r="Y215" s="13"/>
    </row>
    <row r="216" ht="31.5" customHeight="1">
      <c r="D216" s="6" t="str">
        <f t="shared" si="1"/>
        <v/>
      </c>
      <c r="H216" s="7"/>
      <c r="K216" s="7">
        <f t="shared" si="2"/>
        <v>0</v>
      </c>
      <c r="N216" s="7">
        <f t="shared" si="3"/>
        <v>0</v>
      </c>
      <c r="O216" s="7">
        <f t="shared" si="4"/>
        <v>0</v>
      </c>
      <c r="P216" s="7">
        <f t="shared" si="5"/>
        <v>0</v>
      </c>
      <c r="Q216" s="7">
        <f t="shared" si="6"/>
        <v>0</v>
      </c>
      <c r="R216" s="15"/>
      <c r="S216" s="15"/>
      <c r="T216" s="9">
        <f t="shared" si="7"/>
        <v>0</v>
      </c>
      <c r="U216" s="10"/>
      <c r="V216" s="9"/>
      <c r="W216" s="10"/>
      <c r="X216" s="13"/>
      <c r="Y216" s="13"/>
    </row>
    <row r="217" ht="31.5" customHeight="1">
      <c r="D217" s="6" t="str">
        <f t="shared" si="1"/>
        <v/>
      </c>
      <c r="H217" s="7"/>
      <c r="K217" s="7">
        <f t="shared" si="2"/>
        <v>0</v>
      </c>
      <c r="N217" s="7">
        <f t="shared" si="3"/>
        <v>0</v>
      </c>
      <c r="O217" s="7">
        <f t="shared" si="4"/>
        <v>0</v>
      </c>
      <c r="P217" s="7">
        <f t="shared" si="5"/>
        <v>0</v>
      </c>
      <c r="Q217" s="7">
        <f t="shared" si="6"/>
        <v>0</v>
      </c>
      <c r="R217" s="15"/>
      <c r="S217" s="15"/>
      <c r="T217" s="9">
        <f t="shared" si="7"/>
        <v>0</v>
      </c>
      <c r="U217" s="10"/>
      <c r="V217" s="9"/>
      <c r="W217" s="10"/>
      <c r="X217" s="13"/>
      <c r="Y217" s="13"/>
    </row>
    <row r="218" ht="31.5" customHeight="1">
      <c r="D218" s="6" t="str">
        <f t="shared" si="1"/>
        <v/>
      </c>
      <c r="H218" s="7"/>
      <c r="K218" s="7">
        <f t="shared" si="2"/>
        <v>0</v>
      </c>
      <c r="N218" s="7">
        <f t="shared" si="3"/>
        <v>0</v>
      </c>
      <c r="O218" s="7">
        <f t="shared" si="4"/>
        <v>0</v>
      </c>
      <c r="P218" s="7">
        <f t="shared" si="5"/>
        <v>0</v>
      </c>
      <c r="Q218" s="7">
        <f t="shared" si="6"/>
        <v>0</v>
      </c>
      <c r="R218" s="15"/>
      <c r="S218" s="15"/>
      <c r="T218" s="9">
        <f t="shared" si="7"/>
        <v>0</v>
      </c>
      <c r="U218" s="10"/>
      <c r="V218" s="9"/>
      <c r="W218" s="10"/>
      <c r="X218" s="13"/>
      <c r="Y218" s="13"/>
    </row>
    <row r="219" ht="31.5" customHeight="1">
      <c r="D219" s="6" t="str">
        <f t="shared" si="1"/>
        <v/>
      </c>
      <c r="H219" s="7"/>
      <c r="K219" s="7">
        <f t="shared" si="2"/>
        <v>0</v>
      </c>
      <c r="N219" s="7">
        <f t="shared" si="3"/>
        <v>0</v>
      </c>
      <c r="O219" s="7">
        <f t="shared" si="4"/>
        <v>0</v>
      </c>
      <c r="P219" s="7">
        <f t="shared" si="5"/>
        <v>0</v>
      </c>
      <c r="Q219" s="7">
        <f t="shared" si="6"/>
        <v>0</v>
      </c>
      <c r="R219" s="15"/>
      <c r="S219" s="15"/>
      <c r="T219" s="9">
        <f t="shared" si="7"/>
        <v>0</v>
      </c>
      <c r="U219" s="10"/>
      <c r="V219" s="9"/>
      <c r="W219" s="10"/>
      <c r="X219" s="13"/>
      <c r="Y219" s="13"/>
    </row>
    <row r="220" ht="31.5" customHeight="1">
      <c r="D220" s="6" t="str">
        <f t="shared" si="1"/>
        <v/>
      </c>
      <c r="H220" s="7"/>
      <c r="K220" s="7">
        <f t="shared" si="2"/>
        <v>0</v>
      </c>
      <c r="N220" s="7">
        <f t="shared" si="3"/>
        <v>0</v>
      </c>
      <c r="O220" s="7">
        <f t="shared" si="4"/>
        <v>0</v>
      </c>
      <c r="P220" s="7">
        <f t="shared" si="5"/>
        <v>0</v>
      </c>
      <c r="Q220" s="7">
        <f t="shared" si="6"/>
        <v>0</v>
      </c>
      <c r="R220" s="15"/>
      <c r="S220" s="15"/>
      <c r="T220" s="9">
        <f t="shared" si="7"/>
        <v>0</v>
      </c>
      <c r="U220" s="10"/>
      <c r="V220" s="9"/>
      <c r="W220" s="10"/>
      <c r="X220" s="13"/>
      <c r="Y220" s="13"/>
    </row>
    <row r="221" ht="31.5" customHeight="1">
      <c r="D221" s="6" t="str">
        <f t="shared" si="1"/>
        <v/>
      </c>
      <c r="H221" s="7"/>
      <c r="K221" s="7">
        <f t="shared" si="2"/>
        <v>0</v>
      </c>
      <c r="N221" s="7">
        <f t="shared" si="3"/>
        <v>0</v>
      </c>
      <c r="O221" s="7">
        <f t="shared" si="4"/>
        <v>0</v>
      </c>
      <c r="P221" s="7">
        <f t="shared" si="5"/>
        <v>0</v>
      </c>
      <c r="Q221" s="7">
        <f t="shared" si="6"/>
        <v>0</v>
      </c>
      <c r="R221" s="15"/>
      <c r="S221" s="15"/>
      <c r="T221" s="9">
        <f t="shared" si="7"/>
        <v>0</v>
      </c>
      <c r="U221" s="10"/>
      <c r="V221" s="9"/>
      <c r="W221" s="10"/>
      <c r="X221" s="13"/>
      <c r="Y221" s="13"/>
    </row>
    <row r="222" ht="31.5" customHeight="1">
      <c r="D222" s="6" t="str">
        <f t="shared" si="1"/>
        <v/>
      </c>
      <c r="H222" s="7"/>
      <c r="K222" s="7">
        <f t="shared" si="2"/>
        <v>0</v>
      </c>
      <c r="N222" s="7">
        <f t="shared" si="3"/>
        <v>0</v>
      </c>
      <c r="O222" s="7">
        <f t="shared" si="4"/>
        <v>0</v>
      </c>
      <c r="P222" s="7">
        <f t="shared" si="5"/>
        <v>0</v>
      </c>
      <c r="Q222" s="7">
        <f t="shared" si="6"/>
        <v>0</v>
      </c>
      <c r="R222" s="15"/>
      <c r="S222" s="15"/>
      <c r="T222" s="9">
        <f t="shared" si="7"/>
        <v>0</v>
      </c>
      <c r="U222" s="10"/>
      <c r="V222" s="9"/>
      <c r="W222" s="10"/>
      <c r="X222" s="13"/>
      <c r="Y222" s="13"/>
    </row>
    <row r="223" ht="31.5" customHeight="1">
      <c r="D223" s="6" t="str">
        <f t="shared" si="1"/>
        <v/>
      </c>
      <c r="H223" s="7"/>
      <c r="K223" s="7">
        <f t="shared" si="2"/>
        <v>0</v>
      </c>
      <c r="N223" s="7">
        <f t="shared" si="3"/>
        <v>0</v>
      </c>
      <c r="O223" s="7">
        <f t="shared" si="4"/>
        <v>0</v>
      </c>
      <c r="P223" s="7">
        <f t="shared" si="5"/>
        <v>0</v>
      </c>
      <c r="Q223" s="7">
        <f t="shared" si="6"/>
        <v>0</v>
      </c>
      <c r="R223" s="15"/>
      <c r="S223" s="15"/>
      <c r="T223" s="9">
        <f t="shared" si="7"/>
        <v>0</v>
      </c>
      <c r="U223" s="10"/>
      <c r="V223" s="9"/>
      <c r="W223" s="10"/>
      <c r="X223" s="13"/>
      <c r="Y223" s="13"/>
    </row>
    <row r="224" ht="31.5" customHeight="1">
      <c r="D224" s="6" t="str">
        <f t="shared" si="1"/>
        <v/>
      </c>
      <c r="H224" s="7"/>
      <c r="K224" s="7">
        <f t="shared" si="2"/>
        <v>0</v>
      </c>
      <c r="N224" s="7">
        <f t="shared" si="3"/>
        <v>0</v>
      </c>
      <c r="O224" s="7">
        <f t="shared" si="4"/>
        <v>0</v>
      </c>
      <c r="P224" s="7">
        <f t="shared" si="5"/>
        <v>0</v>
      </c>
      <c r="Q224" s="7">
        <f t="shared" si="6"/>
        <v>0</v>
      </c>
      <c r="R224" s="15"/>
      <c r="S224" s="15"/>
      <c r="T224" s="9">
        <f t="shared" si="7"/>
        <v>0</v>
      </c>
      <c r="U224" s="10"/>
      <c r="V224" s="9"/>
      <c r="W224" s="10"/>
      <c r="X224" s="13"/>
      <c r="Y224" s="13"/>
    </row>
    <row r="225" ht="31.5" customHeight="1">
      <c r="D225" s="6" t="str">
        <f t="shared" si="1"/>
        <v/>
      </c>
      <c r="H225" s="7"/>
      <c r="K225" s="7">
        <f t="shared" si="2"/>
        <v>0</v>
      </c>
      <c r="N225" s="7">
        <f t="shared" si="3"/>
        <v>0</v>
      </c>
      <c r="O225" s="7">
        <f t="shared" si="4"/>
        <v>0</v>
      </c>
      <c r="P225" s="7">
        <f t="shared" si="5"/>
        <v>0</v>
      </c>
      <c r="Q225" s="7">
        <f t="shared" si="6"/>
        <v>0</v>
      </c>
      <c r="R225" s="15"/>
      <c r="S225" s="15"/>
      <c r="T225" s="9">
        <f t="shared" si="7"/>
        <v>0</v>
      </c>
      <c r="U225" s="10"/>
      <c r="V225" s="9"/>
      <c r="W225" s="10"/>
      <c r="X225" s="13"/>
      <c r="Y225" s="13"/>
    </row>
    <row r="226" ht="31.5" customHeight="1">
      <c r="D226" s="6" t="str">
        <f t="shared" si="1"/>
        <v/>
      </c>
      <c r="H226" s="7"/>
      <c r="K226" s="7">
        <f t="shared" si="2"/>
        <v>0</v>
      </c>
      <c r="N226" s="7">
        <f t="shared" si="3"/>
        <v>0</v>
      </c>
      <c r="O226" s="7">
        <f t="shared" si="4"/>
        <v>0</v>
      </c>
      <c r="P226" s="7">
        <f t="shared" si="5"/>
        <v>0</v>
      </c>
      <c r="Q226" s="7">
        <f t="shared" si="6"/>
        <v>0</v>
      </c>
      <c r="R226" s="15"/>
      <c r="S226" s="15"/>
      <c r="T226" s="9">
        <f t="shared" si="7"/>
        <v>0</v>
      </c>
      <c r="U226" s="10"/>
      <c r="V226" s="9"/>
      <c r="W226" s="10"/>
      <c r="X226" s="13"/>
      <c r="Y226" s="13"/>
    </row>
    <row r="227" ht="31.5" customHeight="1">
      <c r="D227" s="6" t="str">
        <f t="shared" si="1"/>
        <v/>
      </c>
      <c r="H227" s="7"/>
      <c r="K227" s="7">
        <f t="shared" si="2"/>
        <v>0</v>
      </c>
      <c r="N227" s="7">
        <f t="shared" si="3"/>
        <v>0</v>
      </c>
      <c r="O227" s="7">
        <f t="shared" si="4"/>
        <v>0</v>
      </c>
      <c r="P227" s="7">
        <f t="shared" si="5"/>
        <v>0</v>
      </c>
      <c r="Q227" s="7">
        <f t="shared" si="6"/>
        <v>0</v>
      </c>
      <c r="R227" s="15"/>
      <c r="S227" s="15"/>
      <c r="T227" s="9">
        <f t="shared" si="7"/>
        <v>0</v>
      </c>
      <c r="U227" s="10"/>
      <c r="V227" s="9"/>
      <c r="W227" s="10"/>
      <c r="X227" s="13"/>
      <c r="Y227" s="13"/>
    </row>
    <row r="228" ht="31.5" customHeight="1">
      <c r="D228" s="6" t="str">
        <f t="shared" si="1"/>
        <v/>
      </c>
      <c r="H228" s="7"/>
      <c r="K228" s="7">
        <f t="shared" si="2"/>
        <v>0</v>
      </c>
      <c r="N228" s="7">
        <f t="shared" si="3"/>
        <v>0</v>
      </c>
      <c r="O228" s="7">
        <f t="shared" si="4"/>
        <v>0</v>
      </c>
      <c r="P228" s="7">
        <f t="shared" si="5"/>
        <v>0</v>
      </c>
      <c r="Q228" s="7">
        <f t="shared" si="6"/>
        <v>0</v>
      </c>
      <c r="R228" s="15"/>
      <c r="S228" s="15"/>
      <c r="T228" s="9">
        <f t="shared" si="7"/>
        <v>0</v>
      </c>
      <c r="U228" s="10"/>
      <c r="V228" s="9"/>
      <c r="W228" s="10"/>
      <c r="X228" s="13"/>
      <c r="Y228" s="13"/>
    </row>
    <row r="229" ht="31.5" customHeight="1">
      <c r="D229" s="6" t="str">
        <f t="shared" si="1"/>
        <v/>
      </c>
      <c r="H229" s="7"/>
      <c r="K229" s="7">
        <f t="shared" si="2"/>
        <v>0</v>
      </c>
      <c r="N229" s="7">
        <f t="shared" si="3"/>
        <v>0</v>
      </c>
      <c r="O229" s="7">
        <f t="shared" si="4"/>
        <v>0</v>
      </c>
      <c r="P229" s="7">
        <f t="shared" si="5"/>
        <v>0</v>
      </c>
      <c r="Q229" s="7">
        <f t="shared" si="6"/>
        <v>0</v>
      </c>
      <c r="R229" s="15"/>
      <c r="S229" s="15"/>
      <c r="T229" s="9">
        <f t="shared" si="7"/>
        <v>0</v>
      </c>
      <c r="U229" s="10"/>
      <c r="V229" s="9"/>
      <c r="W229" s="10"/>
      <c r="X229" s="13"/>
      <c r="Y229" s="13"/>
    </row>
    <row r="230" ht="31.5" customHeight="1">
      <c r="D230" s="6" t="str">
        <f t="shared" si="1"/>
        <v/>
      </c>
      <c r="H230" s="7"/>
      <c r="K230" s="7">
        <f t="shared" si="2"/>
        <v>0</v>
      </c>
      <c r="N230" s="7">
        <f t="shared" si="3"/>
        <v>0</v>
      </c>
      <c r="O230" s="7">
        <f t="shared" si="4"/>
        <v>0</v>
      </c>
      <c r="P230" s="7">
        <f t="shared" si="5"/>
        <v>0</v>
      </c>
      <c r="Q230" s="7">
        <f t="shared" si="6"/>
        <v>0</v>
      </c>
      <c r="R230" s="15"/>
      <c r="S230" s="15"/>
      <c r="T230" s="9">
        <f t="shared" si="7"/>
        <v>0</v>
      </c>
      <c r="U230" s="10"/>
      <c r="V230" s="9"/>
      <c r="W230" s="10"/>
      <c r="X230" s="13"/>
      <c r="Y230" s="13"/>
    </row>
    <row r="231" ht="31.5" customHeight="1">
      <c r="D231" s="6" t="str">
        <f t="shared" si="1"/>
        <v/>
      </c>
      <c r="H231" s="7"/>
      <c r="K231" s="7">
        <f t="shared" si="2"/>
        <v>0</v>
      </c>
      <c r="N231" s="7">
        <f t="shared" si="3"/>
        <v>0</v>
      </c>
      <c r="O231" s="7">
        <f t="shared" si="4"/>
        <v>0</v>
      </c>
      <c r="P231" s="7">
        <f t="shared" si="5"/>
        <v>0</v>
      </c>
      <c r="Q231" s="7">
        <f t="shared" si="6"/>
        <v>0</v>
      </c>
      <c r="R231" s="15"/>
      <c r="S231" s="15"/>
      <c r="T231" s="9">
        <f t="shared" si="7"/>
        <v>0</v>
      </c>
      <c r="U231" s="10"/>
      <c r="V231" s="9"/>
      <c r="W231" s="10"/>
      <c r="X231" s="13"/>
      <c r="Y231" s="13"/>
    </row>
    <row r="232" ht="31.5" customHeight="1">
      <c r="D232" s="6" t="str">
        <f t="shared" si="1"/>
        <v/>
      </c>
      <c r="H232" s="7"/>
      <c r="K232" s="7">
        <f t="shared" si="2"/>
        <v>0</v>
      </c>
      <c r="N232" s="7">
        <f t="shared" si="3"/>
        <v>0</v>
      </c>
      <c r="O232" s="7">
        <f t="shared" si="4"/>
        <v>0</v>
      </c>
      <c r="P232" s="7">
        <f t="shared" si="5"/>
        <v>0</v>
      </c>
      <c r="Q232" s="7">
        <f t="shared" si="6"/>
        <v>0</v>
      </c>
      <c r="R232" s="15"/>
      <c r="S232" s="15"/>
      <c r="T232" s="9">
        <f t="shared" si="7"/>
        <v>0</v>
      </c>
      <c r="U232" s="10"/>
      <c r="V232" s="9"/>
      <c r="W232" s="10"/>
      <c r="X232" s="13"/>
      <c r="Y232" s="13"/>
    </row>
    <row r="233" ht="31.5" customHeight="1">
      <c r="D233" s="6" t="str">
        <f t="shared" si="1"/>
        <v/>
      </c>
      <c r="H233" s="7"/>
      <c r="K233" s="7">
        <f t="shared" si="2"/>
        <v>0</v>
      </c>
      <c r="N233" s="7">
        <f t="shared" si="3"/>
        <v>0</v>
      </c>
      <c r="O233" s="7">
        <f t="shared" si="4"/>
        <v>0</v>
      </c>
      <c r="P233" s="7">
        <f t="shared" si="5"/>
        <v>0</v>
      </c>
      <c r="Q233" s="7">
        <f t="shared" si="6"/>
        <v>0</v>
      </c>
      <c r="R233" s="15"/>
      <c r="S233" s="15"/>
      <c r="T233" s="9">
        <f t="shared" si="7"/>
        <v>0</v>
      </c>
      <c r="U233" s="10"/>
      <c r="V233" s="9"/>
      <c r="W233" s="10"/>
      <c r="X233" s="13"/>
      <c r="Y233" s="13"/>
    </row>
    <row r="234" ht="31.5" customHeight="1">
      <c r="D234" s="6" t="str">
        <f t="shared" si="1"/>
        <v/>
      </c>
      <c r="H234" s="7"/>
      <c r="K234" s="7">
        <f t="shared" si="2"/>
        <v>0</v>
      </c>
      <c r="N234" s="7">
        <f t="shared" si="3"/>
        <v>0</v>
      </c>
      <c r="O234" s="7">
        <f t="shared" si="4"/>
        <v>0</v>
      </c>
      <c r="P234" s="7">
        <f t="shared" si="5"/>
        <v>0</v>
      </c>
      <c r="Q234" s="7">
        <f t="shared" si="6"/>
        <v>0</v>
      </c>
      <c r="R234" s="15"/>
      <c r="S234" s="15"/>
      <c r="T234" s="9">
        <f t="shared" si="7"/>
        <v>0</v>
      </c>
      <c r="U234" s="10"/>
      <c r="V234" s="9"/>
      <c r="W234" s="10"/>
      <c r="X234" s="13"/>
      <c r="Y234" s="13"/>
    </row>
    <row r="235" ht="31.5" customHeight="1">
      <c r="D235" s="6" t="str">
        <f t="shared" si="1"/>
        <v/>
      </c>
      <c r="H235" s="7"/>
      <c r="K235" s="7">
        <f t="shared" si="2"/>
        <v>0</v>
      </c>
      <c r="N235" s="7">
        <f t="shared" si="3"/>
        <v>0</v>
      </c>
      <c r="O235" s="7">
        <f t="shared" si="4"/>
        <v>0</v>
      </c>
      <c r="P235" s="7">
        <f t="shared" si="5"/>
        <v>0</v>
      </c>
      <c r="Q235" s="7">
        <f t="shared" si="6"/>
        <v>0</v>
      </c>
      <c r="R235" s="15"/>
      <c r="S235" s="15"/>
      <c r="T235" s="9">
        <f t="shared" si="7"/>
        <v>0</v>
      </c>
      <c r="U235" s="10"/>
      <c r="V235" s="9"/>
      <c r="W235" s="10"/>
      <c r="X235" s="13"/>
      <c r="Y235" s="13"/>
    </row>
    <row r="236" ht="31.5" customHeight="1">
      <c r="D236" s="6" t="str">
        <f t="shared" si="1"/>
        <v/>
      </c>
      <c r="H236" s="7"/>
      <c r="K236" s="7">
        <f t="shared" si="2"/>
        <v>0</v>
      </c>
      <c r="N236" s="7">
        <f t="shared" si="3"/>
        <v>0</v>
      </c>
      <c r="O236" s="7">
        <f t="shared" si="4"/>
        <v>0</v>
      </c>
      <c r="P236" s="7">
        <f t="shared" si="5"/>
        <v>0</v>
      </c>
      <c r="Q236" s="7">
        <f t="shared" si="6"/>
        <v>0</v>
      </c>
      <c r="R236" s="15"/>
      <c r="S236" s="15"/>
      <c r="T236" s="9">
        <f t="shared" si="7"/>
        <v>0</v>
      </c>
      <c r="U236" s="10"/>
      <c r="V236" s="9"/>
      <c r="W236" s="10"/>
      <c r="X236" s="13"/>
      <c r="Y236" s="13"/>
    </row>
    <row r="237" ht="31.5" customHeight="1">
      <c r="D237" s="6" t="str">
        <f t="shared" si="1"/>
        <v/>
      </c>
      <c r="H237" s="7"/>
      <c r="K237" s="7">
        <f t="shared" si="2"/>
        <v>0</v>
      </c>
      <c r="N237" s="7">
        <f t="shared" si="3"/>
        <v>0</v>
      </c>
      <c r="O237" s="7">
        <f t="shared" si="4"/>
        <v>0</v>
      </c>
      <c r="P237" s="7">
        <f t="shared" si="5"/>
        <v>0</v>
      </c>
      <c r="Q237" s="7">
        <f t="shared" si="6"/>
        <v>0</v>
      </c>
      <c r="R237" s="15"/>
      <c r="S237" s="15"/>
      <c r="T237" s="9">
        <f t="shared" si="7"/>
        <v>0</v>
      </c>
      <c r="U237" s="10"/>
      <c r="V237" s="9"/>
      <c r="W237" s="10"/>
      <c r="X237" s="13"/>
      <c r="Y237" s="13"/>
    </row>
    <row r="238" ht="31.5" customHeight="1">
      <c r="D238" s="6" t="str">
        <f t="shared" si="1"/>
        <v/>
      </c>
      <c r="H238" s="7"/>
      <c r="K238" s="7">
        <f t="shared" si="2"/>
        <v>0</v>
      </c>
      <c r="N238" s="7">
        <f t="shared" si="3"/>
        <v>0</v>
      </c>
      <c r="O238" s="7">
        <f t="shared" si="4"/>
        <v>0</v>
      </c>
      <c r="P238" s="7">
        <f t="shared" si="5"/>
        <v>0</v>
      </c>
      <c r="Q238" s="7">
        <f t="shared" si="6"/>
        <v>0</v>
      </c>
      <c r="R238" s="15"/>
      <c r="S238" s="15"/>
      <c r="T238" s="9">
        <f t="shared" si="7"/>
        <v>0</v>
      </c>
      <c r="U238" s="10"/>
      <c r="V238" s="9"/>
      <c r="W238" s="10"/>
      <c r="X238" s="13"/>
      <c r="Y238" s="13"/>
    </row>
    <row r="239" ht="31.5" customHeight="1">
      <c r="D239" s="6" t="str">
        <f t="shared" si="1"/>
        <v/>
      </c>
      <c r="H239" s="7"/>
      <c r="K239" s="7">
        <f t="shared" si="2"/>
        <v>0</v>
      </c>
      <c r="N239" s="7">
        <f t="shared" si="3"/>
        <v>0</v>
      </c>
      <c r="O239" s="7">
        <f t="shared" si="4"/>
        <v>0</v>
      </c>
      <c r="P239" s="7">
        <f t="shared" si="5"/>
        <v>0</v>
      </c>
      <c r="Q239" s="7">
        <f t="shared" si="6"/>
        <v>0</v>
      </c>
      <c r="R239" s="15"/>
      <c r="S239" s="15"/>
      <c r="T239" s="9">
        <f t="shared" si="7"/>
        <v>0</v>
      </c>
      <c r="U239" s="10"/>
      <c r="V239" s="9"/>
      <c r="W239" s="10"/>
      <c r="X239" s="13"/>
      <c r="Y239" s="13"/>
    </row>
    <row r="240" ht="31.5" customHeight="1">
      <c r="D240" s="6" t="str">
        <f t="shared" si="1"/>
        <v/>
      </c>
      <c r="H240" s="7"/>
      <c r="K240" s="7">
        <f t="shared" si="2"/>
        <v>0</v>
      </c>
      <c r="N240" s="7">
        <f t="shared" si="3"/>
        <v>0</v>
      </c>
      <c r="O240" s="7">
        <f t="shared" si="4"/>
        <v>0</v>
      </c>
      <c r="P240" s="7">
        <f t="shared" si="5"/>
        <v>0</v>
      </c>
      <c r="Q240" s="7">
        <f t="shared" si="6"/>
        <v>0</v>
      </c>
      <c r="R240" s="15"/>
      <c r="S240" s="15"/>
      <c r="T240" s="9">
        <f t="shared" si="7"/>
        <v>0</v>
      </c>
      <c r="U240" s="10"/>
      <c r="V240" s="9"/>
      <c r="W240" s="10"/>
      <c r="X240" s="13"/>
      <c r="Y240" s="13"/>
    </row>
    <row r="241" ht="31.5" customHeight="1">
      <c r="D241" s="6" t="str">
        <f t="shared" si="1"/>
        <v/>
      </c>
      <c r="H241" s="7"/>
      <c r="K241" s="7">
        <f t="shared" si="2"/>
        <v>0</v>
      </c>
      <c r="N241" s="7">
        <f t="shared" si="3"/>
        <v>0</v>
      </c>
      <c r="O241" s="7">
        <f t="shared" si="4"/>
        <v>0</v>
      </c>
      <c r="P241" s="7">
        <f t="shared" si="5"/>
        <v>0</v>
      </c>
      <c r="Q241" s="7">
        <f t="shared" si="6"/>
        <v>0</v>
      </c>
      <c r="R241" s="15"/>
      <c r="S241" s="15"/>
      <c r="T241" s="9">
        <f t="shared" si="7"/>
        <v>0</v>
      </c>
      <c r="U241" s="10"/>
      <c r="V241" s="9"/>
      <c r="W241" s="10"/>
      <c r="X241" s="13"/>
      <c r="Y241" s="13"/>
    </row>
    <row r="242" ht="31.5" customHeight="1">
      <c r="D242" s="6" t="str">
        <f t="shared" si="1"/>
        <v/>
      </c>
      <c r="H242" s="7"/>
      <c r="K242" s="7">
        <f t="shared" si="2"/>
        <v>0</v>
      </c>
      <c r="N242" s="7">
        <f t="shared" si="3"/>
        <v>0</v>
      </c>
      <c r="O242" s="7">
        <f t="shared" si="4"/>
        <v>0</v>
      </c>
      <c r="P242" s="7">
        <f t="shared" si="5"/>
        <v>0</v>
      </c>
      <c r="Q242" s="7">
        <f t="shared" si="6"/>
        <v>0</v>
      </c>
      <c r="R242" s="15"/>
      <c r="S242" s="15"/>
      <c r="T242" s="9">
        <f t="shared" si="7"/>
        <v>0</v>
      </c>
      <c r="U242" s="10"/>
      <c r="V242" s="9"/>
      <c r="W242" s="10"/>
      <c r="X242" s="13"/>
      <c r="Y242" s="13"/>
    </row>
    <row r="243" ht="31.5" customHeight="1">
      <c r="D243" s="6" t="str">
        <f t="shared" si="1"/>
        <v/>
      </c>
      <c r="H243" s="7"/>
      <c r="K243" s="7">
        <f t="shared" si="2"/>
        <v>0</v>
      </c>
      <c r="N243" s="7">
        <f t="shared" si="3"/>
        <v>0</v>
      </c>
      <c r="O243" s="7">
        <f t="shared" si="4"/>
        <v>0</v>
      </c>
      <c r="P243" s="7">
        <f t="shared" si="5"/>
        <v>0</v>
      </c>
      <c r="Q243" s="7">
        <f t="shared" si="6"/>
        <v>0</v>
      </c>
      <c r="R243" s="15"/>
      <c r="S243" s="15"/>
      <c r="T243" s="9">
        <f t="shared" si="7"/>
        <v>0</v>
      </c>
      <c r="U243" s="10"/>
      <c r="V243" s="9"/>
      <c r="W243" s="10"/>
      <c r="X243" s="13"/>
      <c r="Y243" s="13"/>
    </row>
    <row r="244" ht="31.5" customHeight="1">
      <c r="D244" s="6" t="str">
        <f t="shared" si="1"/>
        <v/>
      </c>
      <c r="H244" s="7"/>
      <c r="K244" s="7">
        <f t="shared" si="2"/>
        <v>0</v>
      </c>
      <c r="N244" s="7">
        <f t="shared" si="3"/>
        <v>0</v>
      </c>
      <c r="O244" s="7">
        <f t="shared" si="4"/>
        <v>0</v>
      </c>
      <c r="P244" s="7">
        <f t="shared" si="5"/>
        <v>0</v>
      </c>
      <c r="Q244" s="7">
        <f t="shared" si="6"/>
        <v>0</v>
      </c>
      <c r="R244" s="15"/>
      <c r="S244" s="15"/>
      <c r="T244" s="9">
        <f t="shared" si="7"/>
        <v>0</v>
      </c>
      <c r="U244" s="10"/>
      <c r="V244" s="9"/>
      <c r="W244" s="10"/>
      <c r="X244" s="13"/>
      <c r="Y244" s="13"/>
    </row>
    <row r="245" ht="31.5" customHeight="1">
      <c r="D245" s="6" t="str">
        <f t="shared" si="1"/>
        <v/>
      </c>
      <c r="H245" s="7"/>
      <c r="K245" s="7">
        <f t="shared" si="2"/>
        <v>0</v>
      </c>
      <c r="N245" s="7">
        <f t="shared" si="3"/>
        <v>0</v>
      </c>
      <c r="O245" s="7">
        <f t="shared" si="4"/>
        <v>0</v>
      </c>
      <c r="P245" s="7">
        <f t="shared" si="5"/>
        <v>0</v>
      </c>
      <c r="Q245" s="7">
        <f t="shared" si="6"/>
        <v>0</v>
      </c>
      <c r="R245" s="15"/>
      <c r="S245" s="15"/>
      <c r="T245" s="9">
        <f t="shared" si="7"/>
        <v>0</v>
      </c>
      <c r="U245" s="10"/>
      <c r="V245" s="9"/>
      <c r="W245" s="10"/>
      <c r="X245" s="13"/>
      <c r="Y245" s="13"/>
    </row>
    <row r="246" ht="31.5" customHeight="1">
      <c r="D246" s="6" t="str">
        <f t="shared" si="1"/>
        <v/>
      </c>
      <c r="H246" s="7"/>
      <c r="K246" s="7">
        <f t="shared" si="2"/>
        <v>0</v>
      </c>
      <c r="N246" s="7">
        <f t="shared" si="3"/>
        <v>0</v>
      </c>
      <c r="O246" s="7">
        <f t="shared" si="4"/>
        <v>0</v>
      </c>
      <c r="P246" s="7">
        <f t="shared" si="5"/>
        <v>0</v>
      </c>
      <c r="Q246" s="7">
        <f t="shared" si="6"/>
        <v>0</v>
      </c>
      <c r="R246" s="15"/>
      <c r="S246" s="15"/>
      <c r="T246" s="9">
        <f t="shared" si="7"/>
        <v>0</v>
      </c>
      <c r="U246" s="10"/>
      <c r="V246" s="9"/>
      <c r="W246" s="10"/>
      <c r="X246" s="13"/>
      <c r="Y246" s="13"/>
    </row>
    <row r="247" ht="31.5" customHeight="1">
      <c r="D247" s="6" t="str">
        <f t="shared" si="1"/>
        <v/>
      </c>
      <c r="H247" s="7"/>
      <c r="K247" s="7">
        <f t="shared" si="2"/>
        <v>0</v>
      </c>
      <c r="N247" s="7">
        <f t="shared" si="3"/>
        <v>0</v>
      </c>
      <c r="O247" s="7">
        <f t="shared" si="4"/>
        <v>0</v>
      </c>
      <c r="P247" s="7">
        <f t="shared" si="5"/>
        <v>0</v>
      </c>
      <c r="Q247" s="7">
        <f t="shared" si="6"/>
        <v>0</v>
      </c>
      <c r="R247" s="15"/>
      <c r="S247" s="15"/>
      <c r="T247" s="9">
        <f t="shared" si="7"/>
        <v>0</v>
      </c>
      <c r="U247" s="10"/>
      <c r="V247" s="9"/>
      <c r="W247" s="10"/>
      <c r="X247" s="13"/>
      <c r="Y247" s="13"/>
    </row>
    <row r="248" ht="31.5" customHeight="1">
      <c r="D248" s="6" t="str">
        <f t="shared" si="1"/>
        <v/>
      </c>
      <c r="H248" s="7"/>
      <c r="K248" s="7">
        <f t="shared" si="2"/>
        <v>0</v>
      </c>
      <c r="N248" s="7">
        <f t="shared" si="3"/>
        <v>0</v>
      </c>
      <c r="O248" s="7">
        <f t="shared" si="4"/>
        <v>0</v>
      </c>
      <c r="P248" s="7">
        <f t="shared" si="5"/>
        <v>0</v>
      </c>
      <c r="Q248" s="7">
        <f t="shared" si="6"/>
        <v>0</v>
      </c>
      <c r="R248" s="15"/>
      <c r="S248" s="15"/>
      <c r="T248" s="9">
        <f t="shared" si="7"/>
        <v>0</v>
      </c>
      <c r="U248" s="10"/>
      <c r="V248" s="9"/>
      <c r="W248" s="10"/>
      <c r="X248" s="13"/>
      <c r="Y248" s="13"/>
    </row>
    <row r="249" ht="31.5" customHeight="1">
      <c r="D249" s="6" t="str">
        <f t="shared" si="1"/>
        <v/>
      </c>
      <c r="H249" s="7"/>
      <c r="K249" s="7">
        <f t="shared" si="2"/>
        <v>0</v>
      </c>
      <c r="N249" s="7">
        <f t="shared" si="3"/>
        <v>0</v>
      </c>
      <c r="O249" s="7">
        <f t="shared" si="4"/>
        <v>0</v>
      </c>
      <c r="P249" s="7">
        <f t="shared" si="5"/>
        <v>0</v>
      </c>
      <c r="Q249" s="7">
        <f t="shared" si="6"/>
        <v>0</v>
      </c>
      <c r="R249" s="15"/>
      <c r="S249" s="15"/>
      <c r="T249" s="9">
        <f t="shared" si="7"/>
        <v>0</v>
      </c>
      <c r="U249" s="10"/>
      <c r="V249" s="9"/>
      <c r="W249" s="10"/>
      <c r="X249" s="13"/>
      <c r="Y249" s="13"/>
    </row>
    <row r="250" ht="31.5" customHeight="1">
      <c r="D250" s="6" t="str">
        <f t="shared" si="1"/>
        <v/>
      </c>
      <c r="H250" s="7"/>
      <c r="K250" s="7">
        <f t="shared" si="2"/>
        <v>0</v>
      </c>
      <c r="N250" s="7">
        <f t="shared" si="3"/>
        <v>0</v>
      </c>
      <c r="O250" s="7">
        <f t="shared" si="4"/>
        <v>0</v>
      </c>
      <c r="P250" s="7">
        <f t="shared" si="5"/>
        <v>0</v>
      </c>
      <c r="Q250" s="7">
        <f t="shared" si="6"/>
        <v>0</v>
      </c>
      <c r="R250" s="15"/>
      <c r="S250" s="15"/>
      <c r="T250" s="9">
        <f t="shared" si="7"/>
        <v>0</v>
      </c>
      <c r="U250" s="10"/>
      <c r="V250" s="9"/>
      <c r="W250" s="10"/>
      <c r="X250" s="13"/>
      <c r="Y250" s="13"/>
    </row>
    <row r="251" ht="31.5" customHeight="1">
      <c r="D251" s="6" t="str">
        <f t="shared" si="1"/>
        <v/>
      </c>
      <c r="H251" s="7"/>
      <c r="K251" s="7">
        <f t="shared" si="2"/>
        <v>0</v>
      </c>
      <c r="N251" s="7">
        <f t="shared" si="3"/>
        <v>0</v>
      </c>
      <c r="O251" s="7">
        <f t="shared" si="4"/>
        <v>0</v>
      </c>
      <c r="P251" s="7">
        <f t="shared" si="5"/>
        <v>0</v>
      </c>
      <c r="Q251" s="7">
        <f t="shared" si="6"/>
        <v>0</v>
      </c>
      <c r="R251" s="15"/>
      <c r="S251" s="15"/>
      <c r="T251" s="9">
        <f t="shared" si="7"/>
        <v>0</v>
      </c>
      <c r="U251" s="10"/>
      <c r="V251" s="9"/>
      <c r="W251" s="10"/>
      <c r="X251" s="13"/>
      <c r="Y251" s="13"/>
    </row>
    <row r="252" ht="31.5" customHeight="1">
      <c r="D252" s="6" t="str">
        <f t="shared" si="1"/>
        <v/>
      </c>
      <c r="H252" s="7"/>
      <c r="K252" s="7">
        <f t="shared" si="2"/>
        <v>0</v>
      </c>
      <c r="N252" s="7">
        <f t="shared" si="3"/>
        <v>0</v>
      </c>
      <c r="O252" s="7">
        <f t="shared" si="4"/>
        <v>0</v>
      </c>
      <c r="P252" s="7">
        <f t="shared" si="5"/>
        <v>0</v>
      </c>
      <c r="Q252" s="7">
        <f t="shared" si="6"/>
        <v>0</v>
      </c>
      <c r="R252" s="15"/>
      <c r="S252" s="15"/>
      <c r="T252" s="9">
        <f t="shared" si="7"/>
        <v>0</v>
      </c>
      <c r="U252" s="10"/>
      <c r="V252" s="9"/>
      <c r="W252" s="10"/>
      <c r="X252" s="13"/>
      <c r="Y252" s="13"/>
    </row>
    <row r="253" ht="31.5" customHeight="1">
      <c r="D253" s="6" t="str">
        <f t="shared" si="1"/>
        <v/>
      </c>
      <c r="H253" s="7"/>
      <c r="K253" s="7">
        <f t="shared" si="2"/>
        <v>0</v>
      </c>
      <c r="N253" s="7">
        <f t="shared" si="3"/>
        <v>0</v>
      </c>
      <c r="O253" s="7">
        <f t="shared" si="4"/>
        <v>0</v>
      </c>
      <c r="P253" s="7">
        <f t="shared" si="5"/>
        <v>0</v>
      </c>
      <c r="Q253" s="7">
        <f t="shared" si="6"/>
        <v>0</v>
      </c>
      <c r="R253" s="15"/>
      <c r="S253" s="15"/>
      <c r="T253" s="9">
        <f t="shared" si="7"/>
        <v>0</v>
      </c>
      <c r="U253" s="10"/>
      <c r="V253" s="9"/>
      <c r="W253" s="10"/>
      <c r="X253" s="13"/>
      <c r="Y253" s="13"/>
    </row>
    <row r="254" ht="31.5" customHeight="1">
      <c r="D254" s="6" t="str">
        <f t="shared" si="1"/>
        <v/>
      </c>
      <c r="H254" s="7"/>
      <c r="K254" s="7">
        <f t="shared" si="2"/>
        <v>0</v>
      </c>
      <c r="N254" s="7">
        <f t="shared" si="3"/>
        <v>0</v>
      </c>
      <c r="O254" s="7">
        <f t="shared" si="4"/>
        <v>0</v>
      </c>
      <c r="P254" s="7">
        <f t="shared" si="5"/>
        <v>0</v>
      </c>
      <c r="Q254" s="7">
        <f t="shared" si="6"/>
        <v>0</v>
      </c>
      <c r="R254" s="15"/>
      <c r="S254" s="15"/>
      <c r="T254" s="9">
        <f t="shared" si="7"/>
        <v>0</v>
      </c>
      <c r="U254" s="10"/>
      <c r="V254" s="9"/>
      <c r="W254" s="10"/>
      <c r="X254" s="13"/>
      <c r="Y254" s="13"/>
    </row>
    <row r="255" ht="31.5" customHeight="1">
      <c r="D255" s="6" t="str">
        <f t="shared" si="1"/>
        <v/>
      </c>
      <c r="H255" s="7"/>
      <c r="K255" s="7">
        <f t="shared" si="2"/>
        <v>0</v>
      </c>
      <c r="N255" s="7">
        <f t="shared" si="3"/>
        <v>0</v>
      </c>
      <c r="O255" s="7">
        <f t="shared" si="4"/>
        <v>0</v>
      </c>
      <c r="P255" s="7">
        <f t="shared" si="5"/>
        <v>0</v>
      </c>
      <c r="Q255" s="7">
        <f t="shared" si="6"/>
        <v>0</v>
      </c>
      <c r="R255" s="15"/>
      <c r="S255" s="15"/>
      <c r="T255" s="9">
        <f t="shared" si="7"/>
        <v>0</v>
      </c>
      <c r="U255" s="10"/>
      <c r="V255" s="9"/>
      <c r="W255" s="10"/>
      <c r="X255" s="13"/>
      <c r="Y255" s="13"/>
    </row>
    <row r="256" ht="31.5" customHeight="1">
      <c r="D256" s="6" t="str">
        <f t="shared" si="1"/>
        <v/>
      </c>
      <c r="H256" s="7"/>
      <c r="K256" s="7">
        <f t="shared" si="2"/>
        <v>0</v>
      </c>
      <c r="N256" s="7">
        <f t="shared" si="3"/>
        <v>0</v>
      </c>
      <c r="O256" s="7">
        <f t="shared" si="4"/>
        <v>0</v>
      </c>
      <c r="P256" s="7">
        <f t="shared" si="5"/>
        <v>0</v>
      </c>
      <c r="Q256" s="7">
        <f t="shared" si="6"/>
        <v>0</v>
      </c>
      <c r="R256" s="15"/>
      <c r="S256" s="15"/>
      <c r="T256" s="9">
        <f t="shared" si="7"/>
        <v>0</v>
      </c>
      <c r="U256" s="10"/>
      <c r="V256" s="9"/>
      <c r="W256" s="10"/>
      <c r="X256" s="13"/>
      <c r="Y256" s="13"/>
    </row>
    <row r="257" ht="31.5" customHeight="1">
      <c r="D257" s="6" t="str">
        <f t="shared" si="1"/>
        <v/>
      </c>
      <c r="H257" s="7"/>
      <c r="K257" s="7">
        <f t="shared" si="2"/>
        <v>0</v>
      </c>
      <c r="N257" s="7">
        <f t="shared" si="3"/>
        <v>0</v>
      </c>
      <c r="O257" s="7">
        <f t="shared" si="4"/>
        <v>0</v>
      </c>
      <c r="P257" s="7">
        <f t="shared" si="5"/>
        <v>0</v>
      </c>
      <c r="Q257" s="7">
        <f t="shared" si="6"/>
        <v>0</v>
      </c>
      <c r="R257" s="15"/>
      <c r="S257" s="15"/>
      <c r="T257" s="9">
        <f t="shared" si="7"/>
        <v>0</v>
      </c>
      <c r="U257" s="10"/>
      <c r="V257" s="9"/>
      <c r="W257" s="10"/>
      <c r="X257" s="13"/>
      <c r="Y257" s="13"/>
    </row>
    <row r="258" ht="31.5" customHeight="1">
      <c r="D258" s="6" t="str">
        <f t="shared" si="1"/>
        <v/>
      </c>
      <c r="H258" s="7"/>
      <c r="K258" s="7">
        <f t="shared" si="2"/>
        <v>0</v>
      </c>
      <c r="N258" s="7">
        <f t="shared" si="3"/>
        <v>0</v>
      </c>
      <c r="O258" s="7">
        <f t="shared" si="4"/>
        <v>0</v>
      </c>
      <c r="P258" s="7">
        <f t="shared" si="5"/>
        <v>0</v>
      </c>
      <c r="Q258" s="7">
        <f t="shared" si="6"/>
        <v>0</v>
      </c>
      <c r="R258" s="15"/>
      <c r="S258" s="15"/>
      <c r="T258" s="9">
        <f t="shared" si="7"/>
        <v>0</v>
      </c>
      <c r="U258" s="10"/>
      <c r="V258" s="9"/>
      <c r="W258" s="10"/>
      <c r="X258" s="13"/>
      <c r="Y258" s="13"/>
    </row>
    <row r="259" ht="31.5" customHeight="1">
      <c r="D259" s="6" t="str">
        <f t="shared" si="1"/>
        <v/>
      </c>
      <c r="H259" s="7"/>
      <c r="K259" s="7">
        <f t="shared" si="2"/>
        <v>0</v>
      </c>
      <c r="N259" s="7">
        <f t="shared" si="3"/>
        <v>0</v>
      </c>
      <c r="O259" s="7">
        <f t="shared" si="4"/>
        <v>0</v>
      </c>
      <c r="P259" s="7">
        <f t="shared" si="5"/>
        <v>0</v>
      </c>
      <c r="Q259" s="7">
        <f t="shared" si="6"/>
        <v>0</v>
      </c>
      <c r="R259" s="15"/>
      <c r="S259" s="15"/>
      <c r="T259" s="9">
        <f t="shared" si="7"/>
        <v>0</v>
      </c>
      <c r="U259" s="10"/>
      <c r="V259" s="9"/>
      <c r="W259" s="10"/>
      <c r="X259" s="13"/>
      <c r="Y259" s="13"/>
    </row>
    <row r="260" ht="31.5" customHeight="1">
      <c r="D260" s="6" t="str">
        <f t="shared" si="1"/>
        <v/>
      </c>
      <c r="H260" s="7"/>
      <c r="K260" s="7">
        <f t="shared" si="2"/>
        <v>0</v>
      </c>
      <c r="N260" s="7">
        <f t="shared" si="3"/>
        <v>0</v>
      </c>
      <c r="O260" s="7">
        <f t="shared" si="4"/>
        <v>0</v>
      </c>
      <c r="P260" s="7">
        <f t="shared" si="5"/>
        <v>0</v>
      </c>
      <c r="Q260" s="7">
        <f t="shared" si="6"/>
        <v>0</v>
      </c>
      <c r="R260" s="15"/>
      <c r="S260" s="15"/>
      <c r="T260" s="9">
        <f t="shared" si="7"/>
        <v>0</v>
      </c>
      <c r="U260" s="10"/>
      <c r="V260" s="9"/>
      <c r="W260" s="10"/>
      <c r="X260" s="13"/>
      <c r="Y260" s="13"/>
    </row>
    <row r="261" ht="31.5" customHeight="1">
      <c r="D261" s="6" t="str">
        <f t="shared" si="1"/>
        <v/>
      </c>
      <c r="H261" s="7"/>
      <c r="K261" s="7">
        <f t="shared" si="2"/>
        <v>0</v>
      </c>
      <c r="N261" s="7">
        <f t="shared" si="3"/>
        <v>0</v>
      </c>
      <c r="O261" s="7">
        <f t="shared" si="4"/>
        <v>0</v>
      </c>
      <c r="P261" s="7">
        <f t="shared" si="5"/>
        <v>0</v>
      </c>
      <c r="Q261" s="7">
        <f t="shared" si="6"/>
        <v>0</v>
      </c>
      <c r="R261" s="15"/>
      <c r="S261" s="15"/>
      <c r="T261" s="9">
        <f t="shared" si="7"/>
        <v>0</v>
      </c>
      <c r="U261" s="10"/>
      <c r="V261" s="9"/>
      <c r="W261" s="10"/>
      <c r="X261" s="13"/>
      <c r="Y261" s="13"/>
    </row>
    <row r="262" ht="31.5" customHeight="1">
      <c r="D262" s="6" t="str">
        <f t="shared" si="1"/>
        <v/>
      </c>
      <c r="H262" s="7"/>
      <c r="K262" s="7">
        <f t="shared" si="2"/>
        <v>0</v>
      </c>
      <c r="N262" s="7">
        <f t="shared" si="3"/>
        <v>0</v>
      </c>
      <c r="O262" s="7">
        <f t="shared" si="4"/>
        <v>0</v>
      </c>
      <c r="P262" s="7">
        <f t="shared" si="5"/>
        <v>0</v>
      </c>
      <c r="Q262" s="7">
        <f t="shared" si="6"/>
        <v>0</v>
      </c>
      <c r="R262" s="15"/>
      <c r="S262" s="15"/>
      <c r="T262" s="9">
        <f t="shared" si="7"/>
        <v>0</v>
      </c>
      <c r="U262" s="10"/>
      <c r="V262" s="9"/>
      <c r="W262" s="10"/>
      <c r="X262" s="13"/>
      <c r="Y262" s="13"/>
    </row>
    <row r="263" ht="31.5" customHeight="1">
      <c r="D263" s="6" t="str">
        <f t="shared" si="1"/>
        <v/>
      </c>
      <c r="H263" s="7"/>
      <c r="K263" s="7">
        <f t="shared" si="2"/>
        <v>0</v>
      </c>
      <c r="N263" s="7">
        <f t="shared" si="3"/>
        <v>0</v>
      </c>
      <c r="O263" s="7">
        <f t="shared" si="4"/>
        <v>0</v>
      </c>
      <c r="P263" s="7">
        <f t="shared" si="5"/>
        <v>0</v>
      </c>
      <c r="Q263" s="7">
        <f t="shared" si="6"/>
        <v>0</v>
      </c>
      <c r="R263" s="15"/>
      <c r="S263" s="15"/>
      <c r="T263" s="9">
        <f t="shared" si="7"/>
        <v>0</v>
      </c>
      <c r="U263" s="10"/>
      <c r="V263" s="9"/>
      <c r="W263" s="10"/>
      <c r="X263" s="13"/>
      <c r="Y263" s="13"/>
    </row>
    <row r="264" ht="31.5" customHeight="1">
      <c r="D264" s="6" t="str">
        <f t="shared" si="1"/>
        <v/>
      </c>
      <c r="H264" s="7"/>
      <c r="K264" s="7">
        <f t="shared" si="2"/>
        <v>0</v>
      </c>
      <c r="N264" s="7">
        <f t="shared" si="3"/>
        <v>0</v>
      </c>
      <c r="O264" s="7">
        <f t="shared" si="4"/>
        <v>0</v>
      </c>
      <c r="P264" s="7">
        <f t="shared" si="5"/>
        <v>0</v>
      </c>
      <c r="Q264" s="7">
        <f t="shared" si="6"/>
        <v>0</v>
      </c>
      <c r="R264" s="15"/>
      <c r="S264" s="15"/>
      <c r="T264" s="9">
        <f t="shared" si="7"/>
        <v>0</v>
      </c>
      <c r="U264" s="10"/>
      <c r="V264" s="9"/>
      <c r="W264" s="10"/>
      <c r="X264" s="13"/>
      <c r="Y264" s="13"/>
    </row>
    <row r="265" ht="31.5" customHeight="1">
      <c r="D265" s="6" t="str">
        <f t="shared" si="1"/>
        <v/>
      </c>
      <c r="H265" s="7"/>
      <c r="K265" s="7">
        <f t="shared" si="2"/>
        <v>0</v>
      </c>
      <c r="N265" s="7">
        <f t="shared" si="3"/>
        <v>0</v>
      </c>
      <c r="O265" s="7">
        <f t="shared" si="4"/>
        <v>0</v>
      </c>
      <c r="P265" s="7">
        <f t="shared" si="5"/>
        <v>0</v>
      </c>
      <c r="Q265" s="7">
        <f t="shared" si="6"/>
        <v>0</v>
      </c>
      <c r="R265" s="15"/>
      <c r="S265" s="15"/>
      <c r="T265" s="9">
        <f t="shared" si="7"/>
        <v>0</v>
      </c>
      <c r="U265" s="10"/>
      <c r="V265" s="9"/>
      <c r="W265" s="10"/>
      <c r="X265" s="13"/>
      <c r="Y265" s="13"/>
    </row>
    <row r="266" ht="31.5" customHeight="1">
      <c r="D266" s="6" t="str">
        <f t="shared" si="1"/>
        <v/>
      </c>
      <c r="H266" s="7"/>
      <c r="K266" s="7">
        <f t="shared" si="2"/>
        <v>0</v>
      </c>
      <c r="N266" s="7">
        <f t="shared" si="3"/>
        <v>0</v>
      </c>
      <c r="O266" s="7">
        <f t="shared" si="4"/>
        <v>0</v>
      </c>
      <c r="P266" s="7">
        <f t="shared" si="5"/>
        <v>0</v>
      </c>
      <c r="Q266" s="7">
        <f t="shared" si="6"/>
        <v>0</v>
      </c>
      <c r="R266" s="15"/>
      <c r="S266" s="15"/>
      <c r="T266" s="9">
        <f t="shared" si="7"/>
        <v>0</v>
      </c>
      <c r="U266" s="10"/>
      <c r="V266" s="9"/>
      <c r="W266" s="10"/>
      <c r="X266" s="13"/>
      <c r="Y266" s="13"/>
    </row>
    <row r="267" ht="31.5" customHeight="1">
      <c r="D267" s="6" t="str">
        <f t="shared" si="1"/>
        <v/>
      </c>
      <c r="H267" s="7"/>
      <c r="K267" s="7">
        <f t="shared" si="2"/>
        <v>0</v>
      </c>
      <c r="N267" s="7">
        <f t="shared" si="3"/>
        <v>0</v>
      </c>
      <c r="O267" s="7">
        <f t="shared" si="4"/>
        <v>0</v>
      </c>
      <c r="P267" s="7">
        <f t="shared" si="5"/>
        <v>0</v>
      </c>
      <c r="R267" s="15"/>
      <c r="S267" s="15"/>
      <c r="T267" s="9">
        <f t="shared" si="7"/>
        <v>0</v>
      </c>
      <c r="U267" s="10"/>
      <c r="V267" s="9"/>
      <c r="W267" s="10"/>
      <c r="X267" s="13"/>
      <c r="Y267" s="13"/>
    </row>
    <row r="268" ht="31.5" customHeight="1">
      <c r="D268" s="6" t="str">
        <f t="shared" si="1"/>
        <v/>
      </c>
      <c r="H268" s="7"/>
      <c r="K268" s="7">
        <f t="shared" si="2"/>
        <v>0</v>
      </c>
      <c r="N268" s="7">
        <f t="shared" si="3"/>
        <v>0</v>
      </c>
      <c r="O268" s="7">
        <f t="shared" si="4"/>
        <v>0</v>
      </c>
      <c r="P268" s="7">
        <f t="shared" si="5"/>
        <v>0</v>
      </c>
      <c r="R268" s="15"/>
      <c r="S268" s="15"/>
      <c r="T268" s="9">
        <f t="shared" si="7"/>
        <v>0</v>
      </c>
      <c r="U268" s="10"/>
      <c r="V268" s="9"/>
      <c r="W268" s="10"/>
      <c r="X268" s="13"/>
      <c r="Y268" s="13"/>
    </row>
    <row r="269" ht="31.5" customHeight="1">
      <c r="D269" s="6" t="str">
        <f t="shared" si="1"/>
        <v/>
      </c>
      <c r="H269" s="7"/>
      <c r="K269" s="7">
        <f t="shared" si="2"/>
        <v>0</v>
      </c>
      <c r="N269" s="7">
        <f t="shared" si="3"/>
        <v>0</v>
      </c>
      <c r="O269" s="7">
        <f t="shared" si="4"/>
        <v>0</v>
      </c>
      <c r="P269" s="7">
        <f t="shared" si="5"/>
        <v>0</v>
      </c>
      <c r="R269" s="15"/>
      <c r="S269" s="15"/>
      <c r="T269" s="9">
        <f t="shared" si="7"/>
        <v>0</v>
      </c>
      <c r="U269" s="10"/>
      <c r="V269" s="9"/>
      <c r="W269" s="10"/>
      <c r="X269" s="13"/>
      <c r="Y269" s="13"/>
    </row>
    <row r="270" ht="31.5" customHeight="1">
      <c r="D270" s="6" t="str">
        <f t="shared" si="1"/>
        <v/>
      </c>
      <c r="H270" s="7"/>
      <c r="K270" s="7">
        <f t="shared" si="2"/>
        <v>0</v>
      </c>
      <c r="N270" s="7">
        <f t="shared" si="3"/>
        <v>0</v>
      </c>
      <c r="O270" s="7">
        <f t="shared" si="4"/>
        <v>0</v>
      </c>
      <c r="P270" s="7">
        <f t="shared" si="5"/>
        <v>0</v>
      </c>
      <c r="R270" s="15"/>
      <c r="S270" s="15"/>
      <c r="T270" s="9">
        <f t="shared" si="7"/>
        <v>0</v>
      </c>
      <c r="U270" s="10"/>
      <c r="V270" s="9"/>
      <c r="W270" s="10"/>
      <c r="X270" s="13"/>
      <c r="Y270" s="13"/>
    </row>
    <row r="271" ht="31.5" customHeight="1">
      <c r="D271" s="6" t="str">
        <f t="shared" si="1"/>
        <v/>
      </c>
      <c r="H271" s="7"/>
      <c r="K271" s="7">
        <f t="shared" si="2"/>
        <v>0</v>
      </c>
      <c r="N271" s="7">
        <f t="shared" si="3"/>
        <v>0</v>
      </c>
      <c r="O271" s="7">
        <f t="shared" si="4"/>
        <v>0</v>
      </c>
      <c r="P271" s="7">
        <f t="shared" si="5"/>
        <v>0</v>
      </c>
      <c r="R271" s="15"/>
      <c r="S271" s="15"/>
      <c r="T271" s="9">
        <f t="shared" si="7"/>
        <v>0</v>
      </c>
      <c r="U271" s="10"/>
      <c r="V271" s="9"/>
      <c r="W271" s="10"/>
      <c r="X271" s="13"/>
      <c r="Y271" s="13"/>
    </row>
    <row r="272" ht="31.5" customHeight="1">
      <c r="D272" s="6" t="str">
        <f t="shared" si="1"/>
        <v/>
      </c>
      <c r="H272" s="7"/>
      <c r="K272" s="7">
        <f t="shared" si="2"/>
        <v>0</v>
      </c>
      <c r="N272" s="7">
        <f t="shared" si="3"/>
        <v>0</v>
      </c>
      <c r="O272" s="7">
        <f t="shared" si="4"/>
        <v>0</v>
      </c>
      <c r="P272" s="7">
        <f t="shared" si="5"/>
        <v>0</v>
      </c>
      <c r="R272" s="15"/>
      <c r="S272" s="15"/>
      <c r="T272" s="9">
        <f t="shared" si="7"/>
        <v>0</v>
      </c>
      <c r="U272" s="10"/>
      <c r="V272" s="9"/>
      <c r="W272" s="10"/>
      <c r="X272" s="13"/>
      <c r="Y272" s="13"/>
    </row>
    <row r="273" ht="31.5" customHeight="1">
      <c r="D273" s="6" t="str">
        <f t="shared" si="1"/>
        <v/>
      </c>
      <c r="H273" s="7"/>
      <c r="K273" s="7">
        <f t="shared" si="2"/>
        <v>0</v>
      </c>
      <c r="N273" s="7">
        <f t="shared" si="3"/>
        <v>0</v>
      </c>
      <c r="O273" s="7">
        <f t="shared" si="4"/>
        <v>0</v>
      </c>
      <c r="P273" s="7">
        <f t="shared" si="5"/>
        <v>0</v>
      </c>
      <c r="R273" s="15"/>
      <c r="S273" s="15"/>
      <c r="T273" s="9">
        <f t="shared" si="7"/>
        <v>0</v>
      </c>
      <c r="U273" s="10"/>
      <c r="V273" s="9"/>
      <c r="W273" s="10"/>
      <c r="X273" s="13"/>
      <c r="Y273" s="13"/>
    </row>
    <row r="274" ht="31.5" customHeight="1">
      <c r="D274" s="6" t="str">
        <f t="shared" si="1"/>
        <v/>
      </c>
      <c r="H274" s="7"/>
      <c r="K274" s="7">
        <f t="shared" si="2"/>
        <v>0</v>
      </c>
      <c r="N274" s="7">
        <f t="shared" si="3"/>
        <v>0</v>
      </c>
      <c r="O274" s="7">
        <f t="shared" si="4"/>
        <v>0</v>
      </c>
      <c r="P274" s="7">
        <f t="shared" si="5"/>
        <v>0</v>
      </c>
      <c r="R274" s="15"/>
      <c r="S274" s="15"/>
      <c r="T274" s="9">
        <f t="shared" si="7"/>
        <v>0</v>
      </c>
      <c r="U274" s="10"/>
      <c r="V274" s="9"/>
      <c r="W274" s="10"/>
      <c r="X274" s="13"/>
      <c r="Y274" s="13"/>
    </row>
    <row r="275" ht="31.5" customHeight="1">
      <c r="D275" s="6" t="str">
        <f t="shared" si="1"/>
        <v/>
      </c>
      <c r="H275" s="7"/>
      <c r="K275" s="7">
        <f t="shared" si="2"/>
        <v>0</v>
      </c>
      <c r="N275" s="7">
        <f t="shared" si="3"/>
        <v>0</v>
      </c>
      <c r="O275" s="7">
        <f t="shared" si="4"/>
        <v>0</v>
      </c>
      <c r="P275" s="7">
        <f t="shared" si="5"/>
        <v>0</v>
      </c>
      <c r="R275" s="15"/>
      <c r="S275" s="15"/>
      <c r="T275" s="9">
        <f t="shared" si="7"/>
        <v>0</v>
      </c>
      <c r="U275" s="10"/>
      <c r="V275" s="9"/>
      <c r="W275" s="10"/>
      <c r="X275" s="13"/>
      <c r="Y275" s="13"/>
    </row>
    <row r="276" ht="31.5" customHeight="1">
      <c r="D276" s="6" t="str">
        <f t="shared" si="1"/>
        <v/>
      </c>
      <c r="H276" s="7"/>
      <c r="K276" s="7">
        <f t="shared" si="2"/>
        <v>0</v>
      </c>
      <c r="N276" s="7">
        <f t="shared" si="3"/>
        <v>0</v>
      </c>
      <c r="O276" s="7">
        <f t="shared" si="4"/>
        <v>0</v>
      </c>
      <c r="P276" s="7">
        <f t="shared" si="5"/>
        <v>0</v>
      </c>
      <c r="R276" s="15"/>
      <c r="S276" s="15"/>
      <c r="T276" s="9">
        <f t="shared" si="7"/>
        <v>0</v>
      </c>
      <c r="U276" s="10"/>
      <c r="V276" s="9"/>
      <c r="W276" s="10"/>
      <c r="X276" s="13"/>
      <c r="Y276" s="13"/>
    </row>
    <row r="277" ht="31.5" customHeight="1">
      <c r="D277" s="6" t="str">
        <f t="shared" si="1"/>
        <v/>
      </c>
      <c r="H277" s="7"/>
      <c r="K277" s="7">
        <f t="shared" si="2"/>
        <v>0</v>
      </c>
      <c r="N277" s="7">
        <f t="shared" si="3"/>
        <v>0</v>
      </c>
      <c r="O277" s="7">
        <f t="shared" si="4"/>
        <v>0</v>
      </c>
      <c r="P277" s="7">
        <f t="shared" si="5"/>
        <v>0</v>
      </c>
      <c r="R277" s="15"/>
      <c r="S277" s="15"/>
      <c r="T277" s="9">
        <f t="shared" si="7"/>
        <v>0</v>
      </c>
      <c r="U277" s="10"/>
      <c r="V277" s="9"/>
      <c r="W277" s="10"/>
      <c r="X277" s="13"/>
      <c r="Y277" s="13"/>
    </row>
    <row r="278" ht="31.5" customHeight="1">
      <c r="D278" s="6" t="str">
        <f t="shared" si="1"/>
        <v/>
      </c>
      <c r="H278" s="7"/>
      <c r="K278" s="7">
        <f t="shared" si="2"/>
        <v>0</v>
      </c>
      <c r="N278" s="7">
        <f t="shared" si="3"/>
        <v>0</v>
      </c>
      <c r="O278" s="7">
        <f t="shared" si="4"/>
        <v>0</v>
      </c>
      <c r="P278" s="7">
        <f t="shared" si="5"/>
        <v>0</v>
      </c>
      <c r="R278" s="15"/>
      <c r="S278" s="15"/>
      <c r="T278" s="9">
        <f t="shared" si="7"/>
        <v>0</v>
      </c>
      <c r="U278" s="10"/>
      <c r="V278" s="9"/>
      <c r="W278" s="10"/>
      <c r="X278" s="13"/>
      <c r="Y278" s="13"/>
    </row>
    <row r="279" ht="31.5" customHeight="1">
      <c r="D279" s="6" t="str">
        <f t="shared" si="1"/>
        <v/>
      </c>
      <c r="H279" s="7"/>
      <c r="K279" s="7">
        <f t="shared" si="2"/>
        <v>0</v>
      </c>
      <c r="N279" s="7">
        <f t="shared" si="3"/>
        <v>0</v>
      </c>
      <c r="O279" s="7">
        <f t="shared" si="4"/>
        <v>0</v>
      </c>
      <c r="P279" s="7">
        <f t="shared" si="5"/>
        <v>0</v>
      </c>
      <c r="R279" s="15"/>
      <c r="S279" s="15"/>
      <c r="T279" s="9">
        <f t="shared" si="7"/>
        <v>0</v>
      </c>
      <c r="U279" s="10"/>
      <c r="V279" s="9"/>
      <c r="W279" s="10"/>
      <c r="X279" s="13"/>
      <c r="Y279" s="13"/>
    </row>
    <row r="280" ht="31.5" customHeight="1">
      <c r="D280" s="6" t="str">
        <f t="shared" si="1"/>
        <v/>
      </c>
      <c r="H280" s="7"/>
      <c r="K280" s="7">
        <f t="shared" si="2"/>
        <v>0</v>
      </c>
      <c r="N280" s="7">
        <f t="shared" si="3"/>
        <v>0</v>
      </c>
      <c r="O280" s="7">
        <f t="shared" si="4"/>
        <v>0</v>
      </c>
      <c r="P280" s="7">
        <f t="shared" si="5"/>
        <v>0</v>
      </c>
      <c r="R280" s="15"/>
      <c r="S280" s="15"/>
      <c r="T280" s="9">
        <f t="shared" si="7"/>
        <v>0</v>
      </c>
      <c r="U280" s="10"/>
      <c r="V280" s="9"/>
      <c r="W280" s="10"/>
      <c r="X280" s="13"/>
      <c r="Y280" s="13"/>
    </row>
    <row r="281" ht="31.5" customHeight="1">
      <c r="D281" s="6" t="str">
        <f t="shared" si="1"/>
        <v/>
      </c>
      <c r="H281" s="7"/>
      <c r="K281" s="7">
        <f t="shared" si="2"/>
        <v>0</v>
      </c>
      <c r="N281" s="7">
        <f t="shared" si="3"/>
        <v>0</v>
      </c>
      <c r="O281" s="7">
        <f t="shared" si="4"/>
        <v>0</v>
      </c>
      <c r="P281" s="7">
        <f t="shared" si="5"/>
        <v>0</v>
      </c>
      <c r="R281" s="15"/>
      <c r="S281" s="15"/>
      <c r="T281" s="9">
        <f t="shared" si="7"/>
        <v>0</v>
      </c>
      <c r="U281" s="10"/>
      <c r="V281" s="9"/>
      <c r="W281" s="10"/>
      <c r="X281" s="13"/>
      <c r="Y281" s="13"/>
    </row>
    <row r="282" ht="31.5" customHeight="1">
      <c r="D282" s="6" t="str">
        <f t="shared" si="1"/>
        <v/>
      </c>
      <c r="H282" s="7"/>
      <c r="K282" s="7">
        <f t="shared" si="2"/>
        <v>0</v>
      </c>
      <c r="N282" s="7">
        <f t="shared" si="3"/>
        <v>0</v>
      </c>
      <c r="O282" s="7">
        <f t="shared" si="4"/>
        <v>0</v>
      </c>
      <c r="P282" s="7">
        <f t="shared" si="5"/>
        <v>0</v>
      </c>
      <c r="R282" s="15"/>
      <c r="S282" s="15"/>
      <c r="T282" s="9">
        <f t="shared" si="7"/>
        <v>0</v>
      </c>
      <c r="U282" s="10"/>
      <c r="V282" s="9"/>
      <c r="W282" s="10"/>
      <c r="X282" s="13"/>
      <c r="Y282" s="13"/>
    </row>
    <row r="283" ht="31.5" customHeight="1">
      <c r="D283" s="6" t="str">
        <f t="shared" si="1"/>
        <v/>
      </c>
      <c r="H283" s="7"/>
      <c r="K283" s="7">
        <f t="shared" si="2"/>
        <v>0</v>
      </c>
      <c r="N283" s="7">
        <f t="shared" si="3"/>
        <v>0</v>
      </c>
      <c r="O283" s="7">
        <f t="shared" si="4"/>
        <v>0</v>
      </c>
      <c r="P283" s="7">
        <f t="shared" si="5"/>
        <v>0</v>
      </c>
      <c r="R283" s="15"/>
      <c r="S283" s="15"/>
      <c r="T283" s="9">
        <f t="shared" si="7"/>
        <v>0</v>
      </c>
      <c r="U283" s="10"/>
      <c r="V283" s="9"/>
      <c r="W283" s="10"/>
      <c r="X283" s="13"/>
      <c r="Y283" s="13"/>
    </row>
    <row r="284" ht="31.5" customHeight="1">
      <c r="D284" s="6" t="str">
        <f t="shared" si="1"/>
        <v/>
      </c>
      <c r="H284" s="7"/>
      <c r="K284" s="7">
        <f t="shared" si="2"/>
        <v>0</v>
      </c>
      <c r="N284" s="7">
        <f t="shared" si="3"/>
        <v>0</v>
      </c>
      <c r="O284" s="7">
        <f t="shared" si="4"/>
        <v>0</v>
      </c>
      <c r="P284" s="7">
        <f t="shared" si="5"/>
        <v>0</v>
      </c>
      <c r="R284" s="15"/>
      <c r="S284" s="15"/>
      <c r="T284" s="9">
        <f t="shared" si="7"/>
        <v>0</v>
      </c>
      <c r="U284" s="10"/>
      <c r="V284" s="9"/>
      <c r="W284" s="10"/>
      <c r="X284" s="13"/>
      <c r="Y284" s="13"/>
    </row>
    <row r="285" ht="31.5" customHeight="1">
      <c r="D285" s="6" t="str">
        <f t="shared" si="1"/>
        <v/>
      </c>
      <c r="H285" s="7"/>
      <c r="K285" s="7">
        <f t="shared" si="2"/>
        <v>0</v>
      </c>
      <c r="N285" s="7">
        <f t="shared" si="3"/>
        <v>0</v>
      </c>
      <c r="O285" s="7">
        <f t="shared" si="4"/>
        <v>0</v>
      </c>
      <c r="P285" s="7">
        <f t="shared" si="5"/>
        <v>0</v>
      </c>
      <c r="R285" s="15"/>
      <c r="S285" s="15"/>
      <c r="T285" s="9">
        <f t="shared" si="7"/>
        <v>0</v>
      </c>
      <c r="U285" s="10"/>
      <c r="V285" s="9"/>
      <c r="W285" s="10"/>
      <c r="X285" s="13"/>
      <c r="Y285" s="13"/>
    </row>
    <row r="286" ht="31.5" customHeight="1">
      <c r="D286" s="6" t="str">
        <f t="shared" si="1"/>
        <v/>
      </c>
      <c r="H286" s="7"/>
      <c r="K286" s="7">
        <f t="shared" si="2"/>
        <v>0</v>
      </c>
      <c r="N286" s="7">
        <f t="shared" si="3"/>
        <v>0</v>
      </c>
      <c r="O286" s="7">
        <f t="shared" si="4"/>
        <v>0</v>
      </c>
      <c r="P286" s="7">
        <f t="shared" si="5"/>
        <v>0</v>
      </c>
      <c r="R286" s="15"/>
      <c r="S286" s="15"/>
      <c r="T286" s="9">
        <f t="shared" si="7"/>
        <v>0</v>
      </c>
      <c r="U286" s="10"/>
      <c r="V286" s="9"/>
      <c r="W286" s="10"/>
      <c r="X286" s="13"/>
      <c r="Y286" s="13"/>
    </row>
    <row r="287" ht="31.5" customHeight="1">
      <c r="D287" s="6" t="str">
        <f t="shared" si="1"/>
        <v/>
      </c>
      <c r="H287" s="7"/>
      <c r="K287" s="7">
        <f t="shared" si="2"/>
        <v>0</v>
      </c>
      <c r="N287" s="7">
        <f t="shared" si="3"/>
        <v>0</v>
      </c>
      <c r="O287" s="7">
        <f t="shared" si="4"/>
        <v>0</v>
      </c>
      <c r="P287" s="7">
        <f t="shared" si="5"/>
        <v>0</v>
      </c>
      <c r="R287" s="15"/>
      <c r="S287" s="15"/>
      <c r="T287" s="9">
        <f t="shared" si="7"/>
        <v>0</v>
      </c>
      <c r="U287" s="10"/>
      <c r="V287" s="9"/>
      <c r="W287" s="10"/>
      <c r="X287" s="13"/>
      <c r="Y287" s="13"/>
    </row>
    <row r="288" ht="31.5" customHeight="1">
      <c r="D288" s="6" t="str">
        <f t="shared" si="1"/>
        <v/>
      </c>
      <c r="H288" s="7"/>
      <c r="K288" s="7">
        <f t="shared" si="2"/>
        <v>0</v>
      </c>
      <c r="N288" s="7">
        <f t="shared" si="3"/>
        <v>0</v>
      </c>
      <c r="O288" s="7">
        <f t="shared" si="4"/>
        <v>0</v>
      </c>
      <c r="P288" s="7">
        <f t="shared" si="5"/>
        <v>0</v>
      </c>
      <c r="R288" s="15"/>
      <c r="S288" s="15"/>
      <c r="T288" s="9">
        <f t="shared" si="7"/>
        <v>0</v>
      </c>
      <c r="U288" s="10"/>
      <c r="V288" s="9"/>
      <c r="W288" s="10"/>
      <c r="X288" s="13"/>
      <c r="Y288" s="13"/>
    </row>
    <row r="289" ht="31.5" customHeight="1">
      <c r="D289" s="6" t="str">
        <f t="shared" si="1"/>
        <v/>
      </c>
      <c r="H289" s="7"/>
      <c r="K289" s="7">
        <f t="shared" si="2"/>
        <v>0</v>
      </c>
      <c r="N289" s="7">
        <f t="shared" si="3"/>
        <v>0</v>
      </c>
      <c r="O289" s="7">
        <f t="shared" si="4"/>
        <v>0</v>
      </c>
      <c r="P289" s="7">
        <f t="shared" si="5"/>
        <v>0</v>
      </c>
      <c r="R289" s="15"/>
      <c r="S289" s="15"/>
      <c r="T289" s="9">
        <f t="shared" si="7"/>
        <v>0</v>
      </c>
      <c r="U289" s="10"/>
      <c r="V289" s="9"/>
      <c r="W289" s="10"/>
      <c r="X289" s="13"/>
      <c r="Y289" s="13"/>
    </row>
    <row r="290" ht="31.5" customHeight="1">
      <c r="D290" s="6" t="str">
        <f t="shared" si="1"/>
        <v/>
      </c>
      <c r="H290" s="7"/>
      <c r="K290" s="7">
        <f t="shared" si="2"/>
        <v>0</v>
      </c>
      <c r="N290" s="7">
        <f t="shared" si="3"/>
        <v>0</v>
      </c>
      <c r="O290" s="7">
        <f t="shared" si="4"/>
        <v>0</v>
      </c>
      <c r="P290" s="7">
        <f t="shared" si="5"/>
        <v>0</v>
      </c>
      <c r="R290" s="15"/>
      <c r="S290" s="15"/>
      <c r="T290" s="9">
        <f t="shared" si="7"/>
        <v>0</v>
      </c>
      <c r="U290" s="10"/>
      <c r="V290" s="9"/>
      <c r="W290" s="10"/>
      <c r="X290" s="13"/>
      <c r="Y290" s="13"/>
    </row>
    <row r="291" ht="31.5" customHeight="1">
      <c r="D291" s="6" t="str">
        <f t="shared" si="1"/>
        <v/>
      </c>
      <c r="H291" s="7"/>
      <c r="K291" s="7">
        <f t="shared" si="2"/>
        <v>0</v>
      </c>
      <c r="N291" s="7">
        <f t="shared" si="3"/>
        <v>0</v>
      </c>
      <c r="O291" s="7">
        <f t="shared" si="4"/>
        <v>0</v>
      </c>
      <c r="P291" s="7">
        <f t="shared" si="5"/>
        <v>0</v>
      </c>
      <c r="R291" s="15"/>
      <c r="S291" s="15"/>
      <c r="T291" s="9">
        <f t="shared" si="7"/>
        <v>0</v>
      </c>
      <c r="U291" s="10"/>
      <c r="V291" s="9"/>
      <c r="W291" s="10"/>
      <c r="X291" s="13"/>
      <c r="Y291" s="13"/>
    </row>
    <row r="292" ht="31.5" customHeight="1">
      <c r="D292" s="6" t="str">
        <f t="shared" si="1"/>
        <v/>
      </c>
      <c r="H292" s="7"/>
      <c r="K292" s="7">
        <f t="shared" si="2"/>
        <v>0</v>
      </c>
      <c r="N292" s="7">
        <f t="shared" si="3"/>
        <v>0</v>
      </c>
      <c r="O292" s="7">
        <f t="shared" si="4"/>
        <v>0</v>
      </c>
      <c r="P292" s="7">
        <f t="shared" si="5"/>
        <v>0</v>
      </c>
      <c r="R292" s="15"/>
      <c r="S292" s="15"/>
      <c r="T292" s="9">
        <f t="shared" si="7"/>
        <v>0</v>
      </c>
      <c r="U292" s="10"/>
      <c r="V292" s="9"/>
      <c r="W292" s="10"/>
      <c r="X292" s="13"/>
      <c r="Y292" s="13"/>
    </row>
    <row r="293" ht="31.5" customHeight="1">
      <c r="D293" s="6" t="str">
        <f t="shared" si="1"/>
        <v/>
      </c>
      <c r="H293" s="7"/>
      <c r="K293" s="7">
        <f t="shared" si="2"/>
        <v>0</v>
      </c>
      <c r="N293" s="7">
        <f t="shared" si="3"/>
        <v>0</v>
      </c>
      <c r="O293" s="7">
        <f t="shared" si="4"/>
        <v>0</v>
      </c>
      <c r="P293" s="7">
        <f t="shared" si="5"/>
        <v>0</v>
      </c>
      <c r="R293" s="15"/>
      <c r="S293" s="15"/>
      <c r="T293" s="9">
        <f t="shared" si="7"/>
        <v>0</v>
      </c>
      <c r="U293" s="10"/>
      <c r="V293" s="9"/>
      <c r="W293" s="10"/>
      <c r="X293" s="13"/>
      <c r="Y293" s="13"/>
    </row>
    <row r="294" ht="31.5" customHeight="1">
      <c r="D294" s="6" t="str">
        <f t="shared" si="1"/>
        <v/>
      </c>
      <c r="H294" s="7"/>
      <c r="K294" s="7">
        <f t="shared" si="2"/>
        <v>0</v>
      </c>
      <c r="N294" s="7">
        <f t="shared" si="3"/>
        <v>0</v>
      </c>
      <c r="O294" s="7">
        <f t="shared" si="4"/>
        <v>0</v>
      </c>
      <c r="P294" s="7">
        <f t="shared" si="5"/>
        <v>0</v>
      </c>
      <c r="R294" s="15"/>
      <c r="S294" s="15"/>
      <c r="T294" s="9">
        <f t="shared" si="7"/>
        <v>0</v>
      </c>
      <c r="U294" s="10"/>
      <c r="V294" s="9"/>
      <c r="W294" s="10"/>
      <c r="X294" s="13"/>
      <c r="Y294" s="13"/>
    </row>
    <row r="295" ht="31.5" customHeight="1">
      <c r="D295" s="6" t="str">
        <f t="shared" si="1"/>
        <v/>
      </c>
      <c r="H295" s="7"/>
      <c r="K295" s="7">
        <f t="shared" si="2"/>
        <v>0</v>
      </c>
      <c r="N295" s="7">
        <f t="shared" si="3"/>
        <v>0</v>
      </c>
      <c r="O295" s="7">
        <f t="shared" si="4"/>
        <v>0</v>
      </c>
      <c r="P295" s="7">
        <f t="shared" si="5"/>
        <v>0</v>
      </c>
      <c r="R295" s="15"/>
      <c r="S295" s="15"/>
      <c r="T295" s="9">
        <f t="shared" si="7"/>
        <v>0</v>
      </c>
      <c r="U295" s="10"/>
      <c r="V295" s="9"/>
      <c r="W295" s="10"/>
      <c r="X295" s="13"/>
      <c r="Y295" s="13"/>
    </row>
    <row r="296" ht="31.5" customHeight="1">
      <c r="D296" s="6" t="str">
        <f t="shared" si="1"/>
        <v/>
      </c>
      <c r="H296" s="7"/>
      <c r="K296" s="7">
        <f t="shared" si="2"/>
        <v>0</v>
      </c>
      <c r="N296" s="7">
        <f t="shared" si="3"/>
        <v>0</v>
      </c>
      <c r="O296" s="7">
        <f t="shared" si="4"/>
        <v>0</v>
      </c>
      <c r="P296" s="7">
        <f t="shared" si="5"/>
        <v>0</v>
      </c>
      <c r="R296" s="15"/>
      <c r="S296" s="15"/>
      <c r="T296" s="9">
        <f t="shared" si="7"/>
        <v>0</v>
      </c>
      <c r="U296" s="10"/>
      <c r="V296" s="9"/>
      <c r="W296" s="10"/>
      <c r="X296" s="13"/>
      <c r="Y296" s="13"/>
    </row>
    <row r="297" ht="31.5" customHeight="1">
      <c r="D297" s="6" t="str">
        <f t="shared" si="1"/>
        <v/>
      </c>
      <c r="H297" s="7"/>
      <c r="K297" s="7">
        <f t="shared" si="2"/>
        <v>0</v>
      </c>
      <c r="N297" s="7">
        <f t="shared" si="3"/>
        <v>0</v>
      </c>
      <c r="O297" s="7">
        <f t="shared" si="4"/>
        <v>0</v>
      </c>
      <c r="P297" s="7">
        <f t="shared" si="5"/>
        <v>0</v>
      </c>
      <c r="R297" s="15"/>
      <c r="S297" s="15"/>
      <c r="T297" s="9">
        <f t="shared" si="7"/>
        <v>0</v>
      </c>
      <c r="U297" s="10"/>
      <c r="V297" s="9"/>
      <c r="W297" s="10"/>
      <c r="X297" s="13"/>
      <c r="Y297" s="13"/>
    </row>
    <row r="298" ht="31.5" customHeight="1">
      <c r="D298" s="6" t="str">
        <f t="shared" si="1"/>
        <v/>
      </c>
      <c r="H298" s="7"/>
      <c r="K298" s="7">
        <f t="shared" si="2"/>
        <v>0</v>
      </c>
      <c r="N298" s="7">
        <f t="shared" si="3"/>
        <v>0</v>
      </c>
      <c r="O298" s="7">
        <f t="shared" si="4"/>
        <v>0</v>
      </c>
      <c r="P298" s="7">
        <f t="shared" si="5"/>
        <v>0</v>
      </c>
      <c r="R298" s="15"/>
      <c r="S298" s="15"/>
      <c r="T298" s="9">
        <f t="shared" si="7"/>
        <v>0</v>
      </c>
      <c r="U298" s="10"/>
      <c r="V298" s="9"/>
      <c r="W298" s="10"/>
      <c r="X298" s="13"/>
      <c r="Y298" s="13"/>
    </row>
    <row r="299" ht="31.5" customHeight="1">
      <c r="D299" s="6" t="str">
        <f t="shared" si="1"/>
        <v/>
      </c>
      <c r="H299" s="7"/>
      <c r="K299" s="7">
        <f t="shared" si="2"/>
        <v>0</v>
      </c>
      <c r="N299" s="7">
        <f t="shared" si="3"/>
        <v>0</v>
      </c>
      <c r="O299" s="7">
        <f t="shared" si="4"/>
        <v>0</v>
      </c>
      <c r="P299" s="7">
        <f t="shared" si="5"/>
        <v>0</v>
      </c>
      <c r="R299" s="15"/>
      <c r="S299" s="15"/>
      <c r="T299" s="9">
        <f t="shared" si="7"/>
        <v>0</v>
      </c>
      <c r="U299" s="10"/>
      <c r="V299" s="9"/>
      <c r="W299" s="10"/>
      <c r="X299" s="13"/>
      <c r="Y299" s="13"/>
    </row>
    <row r="300" ht="31.5" customHeight="1">
      <c r="D300" s="6" t="str">
        <f t="shared" si="1"/>
        <v/>
      </c>
      <c r="H300" s="7"/>
      <c r="K300" s="7">
        <f t="shared" si="2"/>
        <v>0</v>
      </c>
      <c r="N300" s="7">
        <f t="shared" si="3"/>
        <v>0</v>
      </c>
      <c r="O300" s="7">
        <f t="shared" si="4"/>
        <v>0</v>
      </c>
      <c r="P300" s="7">
        <f t="shared" si="5"/>
        <v>0</v>
      </c>
      <c r="R300" s="15"/>
      <c r="S300" s="15"/>
      <c r="T300" s="9">
        <f t="shared" si="7"/>
        <v>0</v>
      </c>
      <c r="U300" s="10"/>
      <c r="V300" s="9"/>
      <c r="W300" s="10"/>
      <c r="X300" s="13"/>
      <c r="Y300" s="13"/>
    </row>
    <row r="301" ht="31.5" customHeight="1">
      <c r="D301" s="6" t="str">
        <f t="shared" si="1"/>
        <v/>
      </c>
      <c r="H301" s="7"/>
      <c r="K301" s="7">
        <f t="shared" si="2"/>
        <v>0</v>
      </c>
      <c r="N301" s="7">
        <f t="shared" si="3"/>
        <v>0</v>
      </c>
      <c r="O301" s="7">
        <f t="shared" si="4"/>
        <v>0</v>
      </c>
      <c r="P301" s="7">
        <f t="shared" si="5"/>
        <v>0</v>
      </c>
      <c r="R301" s="15"/>
      <c r="S301" s="15"/>
      <c r="T301" s="9">
        <f t="shared" si="7"/>
        <v>0</v>
      </c>
      <c r="U301" s="10"/>
      <c r="V301" s="9"/>
      <c r="W301" s="10"/>
      <c r="X301" s="13"/>
      <c r="Y301" s="13"/>
    </row>
    <row r="302" ht="31.5" customHeight="1">
      <c r="D302" s="6" t="str">
        <f t="shared" si="1"/>
        <v/>
      </c>
      <c r="H302" s="7"/>
      <c r="K302" s="7">
        <f t="shared" si="2"/>
        <v>0</v>
      </c>
      <c r="N302" s="7">
        <f t="shared" si="3"/>
        <v>0</v>
      </c>
      <c r="O302" s="7">
        <f t="shared" si="4"/>
        <v>0</v>
      </c>
      <c r="P302" s="7">
        <f t="shared" si="5"/>
        <v>0</v>
      </c>
      <c r="R302" s="15"/>
      <c r="S302" s="15"/>
      <c r="T302" s="9">
        <f t="shared" si="7"/>
        <v>0</v>
      </c>
      <c r="U302" s="10"/>
      <c r="V302" s="9"/>
      <c r="W302" s="10"/>
      <c r="X302" s="13"/>
      <c r="Y302" s="13"/>
    </row>
    <row r="303" ht="31.5" customHeight="1">
      <c r="D303" s="6" t="str">
        <f t="shared" si="1"/>
        <v/>
      </c>
      <c r="H303" s="7"/>
      <c r="K303" s="7">
        <f t="shared" si="2"/>
        <v>0</v>
      </c>
      <c r="N303" s="7">
        <f t="shared" si="3"/>
        <v>0</v>
      </c>
      <c r="O303" s="7">
        <f t="shared" si="4"/>
        <v>0</v>
      </c>
      <c r="P303" s="7">
        <f t="shared" si="5"/>
        <v>0</v>
      </c>
      <c r="R303" s="15"/>
      <c r="S303" s="15"/>
      <c r="T303" s="9">
        <f t="shared" si="7"/>
        <v>0</v>
      </c>
      <c r="U303" s="10"/>
      <c r="V303" s="9"/>
      <c r="W303" s="10"/>
      <c r="X303" s="13"/>
      <c r="Y303" s="13"/>
    </row>
    <row r="304" ht="31.5" customHeight="1">
      <c r="D304" s="6" t="str">
        <f t="shared" si="1"/>
        <v/>
      </c>
      <c r="H304" s="7"/>
      <c r="K304" s="7">
        <f t="shared" si="2"/>
        <v>0</v>
      </c>
      <c r="N304" s="7">
        <f t="shared" si="3"/>
        <v>0</v>
      </c>
      <c r="O304" s="7">
        <f t="shared" si="4"/>
        <v>0</v>
      </c>
      <c r="P304" s="7">
        <f t="shared" si="5"/>
        <v>0</v>
      </c>
      <c r="R304" s="15"/>
      <c r="S304" s="15"/>
      <c r="T304" s="9">
        <f t="shared" si="7"/>
        <v>0</v>
      </c>
      <c r="U304" s="10"/>
      <c r="V304" s="9"/>
      <c r="W304" s="10"/>
      <c r="X304" s="13"/>
      <c r="Y304" s="13"/>
    </row>
    <row r="305" ht="31.5" customHeight="1">
      <c r="D305" s="6" t="str">
        <f t="shared" si="1"/>
        <v/>
      </c>
      <c r="H305" s="7"/>
      <c r="K305" s="7">
        <f t="shared" si="2"/>
        <v>0</v>
      </c>
      <c r="N305" s="7">
        <f t="shared" si="3"/>
        <v>0</v>
      </c>
      <c r="O305" s="7">
        <f t="shared" si="4"/>
        <v>0</v>
      </c>
      <c r="P305" s="7">
        <f t="shared" si="5"/>
        <v>0</v>
      </c>
      <c r="R305" s="15"/>
      <c r="S305" s="15"/>
      <c r="T305" s="9">
        <f t="shared" si="7"/>
        <v>0</v>
      </c>
      <c r="U305" s="10"/>
      <c r="V305" s="9"/>
      <c r="W305" s="10"/>
      <c r="X305" s="13"/>
      <c r="Y305" s="13"/>
    </row>
    <row r="306" ht="31.5" customHeight="1">
      <c r="D306" s="6" t="str">
        <f t="shared" si="1"/>
        <v/>
      </c>
      <c r="H306" s="7"/>
      <c r="K306" s="7">
        <f t="shared" si="2"/>
        <v>0</v>
      </c>
      <c r="N306" s="7">
        <f t="shared" si="3"/>
        <v>0</v>
      </c>
      <c r="O306" s="7">
        <f t="shared" si="4"/>
        <v>0</v>
      </c>
      <c r="P306" s="7">
        <f t="shared" si="5"/>
        <v>0</v>
      </c>
      <c r="R306" s="15"/>
      <c r="S306" s="15"/>
      <c r="T306" s="9">
        <f t="shared" si="7"/>
        <v>0</v>
      </c>
      <c r="U306" s="10"/>
      <c r="V306" s="9"/>
      <c r="W306" s="10"/>
      <c r="X306" s="13"/>
      <c r="Y306" s="13"/>
    </row>
    <row r="307" ht="31.5" customHeight="1">
      <c r="D307" s="6" t="str">
        <f t="shared" si="1"/>
        <v/>
      </c>
      <c r="H307" s="7"/>
      <c r="K307" s="7">
        <f t="shared" si="2"/>
        <v>0</v>
      </c>
      <c r="N307" s="7">
        <f t="shared" si="3"/>
        <v>0</v>
      </c>
      <c r="O307" s="7">
        <f t="shared" si="4"/>
        <v>0</v>
      </c>
      <c r="P307" s="7">
        <f t="shared" si="5"/>
        <v>0</v>
      </c>
      <c r="R307" s="15"/>
      <c r="S307" s="15"/>
      <c r="T307" s="9">
        <f t="shared" si="7"/>
        <v>0</v>
      </c>
      <c r="U307" s="10"/>
      <c r="V307" s="9"/>
      <c r="W307" s="10"/>
      <c r="X307" s="13"/>
      <c r="Y307" s="13"/>
    </row>
    <row r="308" ht="31.5" customHeight="1">
      <c r="D308" s="6" t="str">
        <f t="shared" si="1"/>
        <v/>
      </c>
      <c r="H308" s="7"/>
      <c r="K308" s="7">
        <f t="shared" si="2"/>
        <v>0</v>
      </c>
      <c r="N308" s="7">
        <f t="shared" si="3"/>
        <v>0</v>
      </c>
      <c r="O308" s="7">
        <f t="shared" si="4"/>
        <v>0</v>
      </c>
      <c r="P308" s="7">
        <f t="shared" si="5"/>
        <v>0</v>
      </c>
      <c r="R308" s="15"/>
      <c r="S308" s="15"/>
      <c r="T308" s="9">
        <f t="shared" si="7"/>
        <v>0</v>
      </c>
      <c r="U308" s="10"/>
      <c r="V308" s="9"/>
      <c r="W308" s="10"/>
      <c r="X308" s="13"/>
      <c r="Y308" s="13"/>
    </row>
    <row r="309" ht="31.5" customHeight="1">
      <c r="D309" s="6" t="str">
        <f t="shared" si="1"/>
        <v/>
      </c>
      <c r="H309" s="7"/>
      <c r="K309" s="7">
        <f t="shared" si="2"/>
        <v>0</v>
      </c>
      <c r="N309" s="7">
        <f t="shared" si="3"/>
        <v>0</v>
      </c>
      <c r="O309" s="7">
        <f t="shared" si="4"/>
        <v>0</v>
      </c>
      <c r="P309" s="7">
        <f t="shared" si="5"/>
        <v>0</v>
      </c>
      <c r="R309" s="15"/>
      <c r="S309" s="15"/>
      <c r="T309" s="9">
        <f t="shared" si="7"/>
        <v>0</v>
      </c>
      <c r="U309" s="10"/>
      <c r="V309" s="9"/>
      <c r="W309" s="10"/>
      <c r="X309" s="13"/>
      <c r="Y309" s="13"/>
    </row>
    <row r="310" ht="31.5" customHeight="1">
      <c r="D310" s="6" t="str">
        <f t="shared" si="1"/>
        <v/>
      </c>
      <c r="H310" s="7"/>
      <c r="K310" s="7">
        <f t="shared" si="2"/>
        <v>0</v>
      </c>
      <c r="N310" s="7">
        <f t="shared" si="3"/>
        <v>0</v>
      </c>
      <c r="O310" s="7">
        <f t="shared" si="4"/>
        <v>0</v>
      </c>
      <c r="P310" s="7">
        <f t="shared" si="5"/>
        <v>0</v>
      </c>
      <c r="R310" s="15"/>
      <c r="S310" s="15"/>
      <c r="T310" s="9">
        <f t="shared" si="7"/>
        <v>0</v>
      </c>
      <c r="U310" s="10"/>
      <c r="V310" s="9"/>
      <c r="W310" s="10"/>
      <c r="X310" s="13"/>
      <c r="Y310" s="13"/>
    </row>
    <row r="311" ht="31.5" customHeight="1">
      <c r="D311" s="6" t="str">
        <f t="shared" si="1"/>
        <v/>
      </c>
      <c r="H311" s="7"/>
      <c r="K311" s="7">
        <f t="shared" si="2"/>
        <v>0</v>
      </c>
      <c r="N311" s="7">
        <f t="shared" si="3"/>
        <v>0</v>
      </c>
      <c r="O311" s="7">
        <f t="shared" si="4"/>
        <v>0</v>
      </c>
      <c r="P311" s="7">
        <f t="shared" si="5"/>
        <v>0</v>
      </c>
      <c r="R311" s="15"/>
      <c r="S311" s="15"/>
      <c r="T311" s="9">
        <f t="shared" si="7"/>
        <v>0</v>
      </c>
      <c r="U311" s="10"/>
      <c r="V311" s="9"/>
      <c r="W311" s="10"/>
      <c r="X311" s="13"/>
      <c r="Y311" s="13"/>
    </row>
    <row r="312" ht="31.5" customHeight="1">
      <c r="D312" s="6" t="str">
        <f t="shared" si="1"/>
        <v/>
      </c>
      <c r="H312" s="7"/>
      <c r="K312" s="7">
        <f t="shared" si="2"/>
        <v>0</v>
      </c>
      <c r="N312" s="7">
        <f t="shared" si="3"/>
        <v>0</v>
      </c>
      <c r="O312" s="7">
        <f t="shared" si="4"/>
        <v>0</v>
      </c>
      <c r="P312" s="7">
        <f t="shared" si="5"/>
        <v>0</v>
      </c>
      <c r="R312" s="15"/>
      <c r="S312" s="15"/>
      <c r="T312" s="9">
        <f t="shared" si="7"/>
        <v>0</v>
      </c>
      <c r="U312" s="10"/>
      <c r="V312" s="9"/>
      <c r="W312" s="10"/>
      <c r="X312" s="13"/>
      <c r="Y312" s="13"/>
    </row>
    <row r="313" ht="31.5" customHeight="1">
      <c r="D313" s="6" t="str">
        <f t="shared" si="1"/>
        <v/>
      </c>
      <c r="H313" s="7"/>
      <c r="K313" s="7">
        <f t="shared" si="2"/>
        <v>0</v>
      </c>
      <c r="N313" s="7">
        <f t="shared" si="3"/>
        <v>0</v>
      </c>
      <c r="O313" s="7">
        <f t="shared" si="4"/>
        <v>0</v>
      </c>
      <c r="P313" s="7">
        <f t="shared" si="5"/>
        <v>0</v>
      </c>
      <c r="R313" s="15"/>
      <c r="S313" s="15"/>
      <c r="T313" s="9">
        <f t="shared" si="7"/>
        <v>0</v>
      </c>
      <c r="U313" s="10"/>
      <c r="V313" s="9"/>
      <c r="W313" s="10"/>
      <c r="X313" s="13"/>
      <c r="Y313" s="13"/>
    </row>
    <row r="314" ht="31.5" customHeight="1">
      <c r="D314" s="6" t="str">
        <f t="shared" si="1"/>
        <v/>
      </c>
      <c r="H314" s="7"/>
      <c r="K314" s="7">
        <f t="shared" si="2"/>
        <v>0</v>
      </c>
      <c r="N314" s="7">
        <f t="shared" si="3"/>
        <v>0</v>
      </c>
      <c r="O314" s="7">
        <f t="shared" si="4"/>
        <v>0</v>
      </c>
      <c r="P314" s="7">
        <f t="shared" si="5"/>
        <v>0</v>
      </c>
      <c r="R314" s="15"/>
      <c r="S314" s="15"/>
      <c r="T314" s="9">
        <f t="shared" si="7"/>
        <v>0</v>
      </c>
      <c r="U314" s="10"/>
      <c r="V314" s="9"/>
      <c r="W314" s="10"/>
      <c r="X314" s="13"/>
      <c r="Y314" s="13"/>
    </row>
    <row r="315" ht="31.5" customHeight="1">
      <c r="D315" s="6" t="str">
        <f t="shared" si="1"/>
        <v/>
      </c>
      <c r="H315" s="7"/>
      <c r="K315" s="7">
        <f t="shared" si="2"/>
        <v>0</v>
      </c>
      <c r="N315" s="7">
        <f t="shared" si="3"/>
        <v>0</v>
      </c>
      <c r="O315" s="7">
        <f t="shared" si="4"/>
        <v>0</v>
      </c>
      <c r="P315" s="7">
        <f t="shared" si="5"/>
        <v>0</v>
      </c>
      <c r="R315" s="15"/>
      <c r="S315" s="15"/>
      <c r="T315" s="9">
        <f t="shared" si="7"/>
        <v>0</v>
      </c>
      <c r="U315" s="10"/>
      <c r="V315" s="9"/>
      <c r="W315" s="10"/>
      <c r="X315" s="13"/>
      <c r="Y315" s="13"/>
    </row>
    <row r="316" ht="31.5" customHeight="1">
      <c r="D316" s="6" t="str">
        <f t="shared" si="1"/>
        <v/>
      </c>
      <c r="H316" s="7"/>
      <c r="K316" s="7">
        <f t="shared" si="2"/>
        <v>0</v>
      </c>
      <c r="N316" s="7">
        <f t="shared" si="3"/>
        <v>0</v>
      </c>
      <c r="O316" s="7">
        <f t="shared" si="4"/>
        <v>0</v>
      </c>
      <c r="P316" s="7">
        <f t="shared" si="5"/>
        <v>0</v>
      </c>
      <c r="R316" s="15"/>
      <c r="S316" s="15"/>
      <c r="T316" s="9">
        <f t="shared" si="7"/>
        <v>0</v>
      </c>
      <c r="U316" s="10"/>
      <c r="V316" s="9"/>
      <c r="W316" s="10"/>
      <c r="X316" s="13"/>
      <c r="Y316" s="13"/>
    </row>
    <row r="317" ht="31.5" customHeight="1">
      <c r="D317" s="6" t="str">
        <f t="shared" si="1"/>
        <v/>
      </c>
      <c r="H317" s="7"/>
      <c r="K317" s="7">
        <f t="shared" si="2"/>
        <v>0</v>
      </c>
      <c r="N317" s="7">
        <f t="shared" si="3"/>
        <v>0</v>
      </c>
      <c r="O317" s="7">
        <f t="shared" si="4"/>
        <v>0</v>
      </c>
      <c r="P317" s="7">
        <f t="shared" si="5"/>
        <v>0</v>
      </c>
      <c r="R317" s="15"/>
      <c r="S317" s="15"/>
      <c r="T317" s="9">
        <f t="shared" si="7"/>
        <v>0</v>
      </c>
      <c r="U317" s="10"/>
      <c r="V317" s="9"/>
      <c r="W317" s="10"/>
      <c r="X317" s="13"/>
      <c r="Y317" s="13"/>
    </row>
    <row r="318" ht="31.5" customHeight="1">
      <c r="D318" s="6" t="str">
        <f t="shared" si="1"/>
        <v/>
      </c>
      <c r="H318" s="7"/>
      <c r="K318" s="7">
        <f t="shared" si="2"/>
        <v>0</v>
      </c>
      <c r="N318" s="7">
        <f t="shared" si="3"/>
        <v>0</v>
      </c>
      <c r="O318" s="7">
        <f t="shared" si="4"/>
        <v>0</v>
      </c>
      <c r="P318" s="7">
        <f t="shared" si="5"/>
        <v>0</v>
      </c>
      <c r="R318" s="15"/>
      <c r="S318" s="15"/>
      <c r="T318" s="9">
        <f t="shared" si="7"/>
        <v>0</v>
      </c>
      <c r="U318" s="10"/>
      <c r="V318" s="9"/>
      <c r="W318" s="10"/>
      <c r="X318" s="13"/>
      <c r="Y318" s="13"/>
    </row>
    <row r="319" ht="31.5" customHeight="1">
      <c r="D319" s="6" t="str">
        <f t="shared" si="1"/>
        <v/>
      </c>
      <c r="H319" s="7"/>
      <c r="K319" s="7">
        <f t="shared" si="2"/>
        <v>0</v>
      </c>
      <c r="N319" s="7">
        <f t="shared" si="3"/>
        <v>0</v>
      </c>
      <c r="O319" s="7">
        <f t="shared" si="4"/>
        <v>0</v>
      </c>
      <c r="P319" s="7">
        <f t="shared" si="5"/>
        <v>0</v>
      </c>
      <c r="R319" s="15"/>
      <c r="S319" s="15"/>
      <c r="T319" s="9">
        <f t="shared" si="7"/>
        <v>0</v>
      </c>
      <c r="U319" s="10"/>
      <c r="V319" s="9"/>
      <c r="W319" s="10"/>
      <c r="X319" s="13"/>
      <c r="Y319" s="13"/>
    </row>
    <row r="320" ht="31.5" customHeight="1">
      <c r="D320" s="6" t="str">
        <f t="shared" si="1"/>
        <v/>
      </c>
      <c r="H320" s="7"/>
      <c r="K320" s="7">
        <f t="shared" si="2"/>
        <v>0</v>
      </c>
      <c r="N320" s="7">
        <f t="shared" si="3"/>
        <v>0</v>
      </c>
      <c r="O320" s="7">
        <f t="shared" si="4"/>
        <v>0</v>
      </c>
      <c r="P320" s="7">
        <f t="shared" si="5"/>
        <v>0</v>
      </c>
      <c r="R320" s="15"/>
      <c r="S320" s="15"/>
      <c r="T320" s="9">
        <f t="shared" si="7"/>
        <v>0</v>
      </c>
      <c r="U320" s="10"/>
      <c r="V320" s="9"/>
      <c r="W320" s="10"/>
      <c r="X320" s="13"/>
      <c r="Y320" s="13"/>
    </row>
    <row r="321" ht="31.5" customHeight="1">
      <c r="D321" s="6" t="str">
        <f t="shared" si="1"/>
        <v/>
      </c>
      <c r="H321" s="7"/>
      <c r="K321" s="7">
        <f t="shared" si="2"/>
        <v>0</v>
      </c>
      <c r="N321" s="7">
        <f t="shared" si="3"/>
        <v>0</v>
      </c>
      <c r="O321" s="7">
        <f t="shared" si="4"/>
        <v>0</v>
      </c>
      <c r="P321" s="7">
        <f t="shared" si="5"/>
        <v>0</v>
      </c>
      <c r="R321" s="15"/>
      <c r="S321" s="15"/>
      <c r="T321" s="9">
        <f t="shared" si="7"/>
        <v>0</v>
      </c>
      <c r="U321" s="10"/>
      <c r="V321" s="9"/>
      <c r="W321" s="10"/>
      <c r="X321" s="13"/>
      <c r="Y321" s="13"/>
    </row>
    <row r="322" ht="31.5" customHeight="1">
      <c r="D322" s="6" t="str">
        <f t="shared" si="1"/>
        <v/>
      </c>
      <c r="H322" s="7"/>
      <c r="K322" s="7">
        <f t="shared" si="2"/>
        <v>0</v>
      </c>
      <c r="N322" s="7">
        <f t="shared" si="3"/>
        <v>0</v>
      </c>
      <c r="O322" s="7">
        <f t="shared" si="4"/>
        <v>0</v>
      </c>
      <c r="P322" s="7">
        <f t="shared" si="5"/>
        <v>0</v>
      </c>
      <c r="R322" s="15"/>
      <c r="S322" s="15"/>
      <c r="T322" s="9">
        <f t="shared" si="7"/>
        <v>0</v>
      </c>
      <c r="U322" s="10"/>
      <c r="V322" s="9"/>
      <c r="W322" s="10"/>
      <c r="X322" s="13"/>
      <c r="Y322" s="13"/>
    </row>
    <row r="323" ht="31.5" customHeight="1">
      <c r="D323" s="6" t="str">
        <f t="shared" si="1"/>
        <v/>
      </c>
      <c r="H323" s="7"/>
      <c r="K323" s="7">
        <f t="shared" si="2"/>
        <v>0</v>
      </c>
      <c r="N323" s="7">
        <f t="shared" si="3"/>
        <v>0</v>
      </c>
      <c r="O323" s="7">
        <f t="shared" si="4"/>
        <v>0</v>
      </c>
      <c r="P323" s="7">
        <f t="shared" si="5"/>
        <v>0</v>
      </c>
      <c r="R323" s="15"/>
      <c r="S323" s="15"/>
      <c r="T323" s="9">
        <f t="shared" si="7"/>
        <v>0</v>
      </c>
      <c r="U323" s="10"/>
      <c r="V323" s="9"/>
      <c r="W323" s="10"/>
      <c r="X323" s="13"/>
      <c r="Y323" s="13"/>
    </row>
    <row r="324" ht="31.5" customHeight="1">
      <c r="D324" s="6" t="str">
        <f t="shared" si="1"/>
        <v/>
      </c>
      <c r="H324" s="7"/>
      <c r="K324" s="7">
        <f t="shared" si="2"/>
        <v>0</v>
      </c>
      <c r="N324" s="7">
        <f t="shared" si="3"/>
        <v>0</v>
      </c>
      <c r="O324" s="7">
        <f t="shared" si="4"/>
        <v>0</v>
      </c>
      <c r="P324" s="7">
        <f t="shared" si="5"/>
        <v>0</v>
      </c>
      <c r="R324" s="15"/>
      <c r="S324" s="15"/>
      <c r="T324" s="9">
        <f t="shared" si="7"/>
        <v>0</v>
      </c>
      <c r="U324" s="10"/>
      <c r="V324" s="9"/>
      <c r="W324" s="10"/>
      <c r="X324" s="13"/>
      <c r="Y324" s="13"/>
    </row>
    <row r="325" ht="31.5" customHeight="1">
      <c r="D325" s="6" t="str">
        <f t="shared" si="1"/>
        <v/>
      </c>
      <c r="H325" s="7"/>
      <c r="K325" s="7">
        <f t="shared" si="2"/>
        <v>0</v>
      </c>
      <c r="N325" s="7">
        <f t="shared" si="3"/>
        <v>0</v>
      </c>
      <c r="O325" s="7">
        <f t="shared" si="4"/>
        <v>0</v>
      </c>
      <c r="P325" s="7">
        <f t="shared" si="5"/>
        <v>0</v>
      </c>
      <c r="R325" s="15"/>
      <c r="S325" s="15"/>
      <c r="T325" s="9">
        <f t="shared" si="7"/>
        <v>0</v>
      </c>
      <c r="U325" s="10"/>
      <c r="V325" s="9"/>
      <c r="W325" s="10"/>
      <c r="X325" s="13"/>
      <c r="Y325" s="13"/>
    </row>
    <row r="326" ht="31.5" customHeight="1">
      <c r="D326" s="6" t="str">
        <f t="shared" si="1"/>
        <v/>
      </c>
      <c r="H326" s="7"/>
      <c r="K326" s="7">
        <f t="shared" si="2"/>
        <v>0</v>
      </c>
      <c r="N326" s="7">
        <f t="shared" si="3"/>
        <v>0</v>
      </c>
      <c r="O326" s="7">
        <f t="shared" si="4"/>
        <v>0</v>
      </c>
      <c r="P326" s="7">
        <f t="shared" si="5"/>
        <v>0</v>
      </c>
      <c r="R326" s="15"/>
      <c r="S326" s="15"/>
      <c r="T326" s="9">
        <f t="shared" si="7"/>
        <v>0</v>
      </c>
      <c r="U326" s="10"/>
      <c r="V326" s="9"/>
      <c r="W326" s="10"/>
      <c r="X326" s="13"/>
      <c r="Y326" s="13"/>
    </row>
    <row r="327" ht="31.5" customHeight="1">
      <c r="D327" s="6" t="str">
        <f t="shared" si="1"/>
        <v/>
      </c>
      <c r="H327" s="7"/>
      <c r="K327" s="7">
        <f t="shared" si="2"/>
        <v>0</v>
      </c>
      <c r="N327" s="7">
        <f t="shared" si="3"/>
        <v>0</v>
      </c>
      <c r="O327" s="7">
        <f t="shared" si="4"/>
        <v>0</v>
      </c>
      <c r="P327" s="7">
        <f t="shared" si="5"/>
        <v>0</v>
      </c>
      <c r="R327" s="15"/>
      <c r="S327" s="15"/>
      <c r="T327" s="9">
        <f t="shared" si="7"/>
        <v>0</v>
      </c>
      <c r="U327" s="10"/>
      <c r="V327" s="9"/>
      <c r="W327" s="10"/>
      <c r="X327" s="13"/>
      <c r="Y327" s="13"/>
    </row>
    <row r="328" ht="31.5" customHeight="1">
      <c r="D328" s="6" t="str">
        <f t="shared" si="1"/>
        <v/>
      </c>
      <c r="H328" s="7"/>
      <c r="K328" s="7">
        <f t="shared" si="2"/>
        <v>0</v>
      </c>
      <c r="N328" s="7">
        <f t="shared" si="3"/>
        <v>0</v>
      </c>
      <c r="O328" s="7">
        <f t="shared" si="4"/>
        <v>0</v>
      </c>
      <c r="P328" s="7">
        <f t="shared" si="5"/>
        <v>0</v>
      </c>
      <c r="R328" s="15"/>
      <c r="S328" s="15"/>
      <c r="T328" s="9">
        <f t="shared" si="7"/>
        <v>0</v>
      </c>
      <c r="U328" s="10"/>
      <c r="V328" s="9"/>
      <c r="W328" s="10"/>
      <c r="X328" s="13"/>
      <c r="Y328" s="13"/>
    </row>
    <row r="329" ht="31.5" customHeight="1">
      <c r="D329" s="6" t="str">
        <f t="shared" si="1"/>
        <v/>
      </c>
      <c r="H329" s="7"/>
      <c r="K329" s="7">
        <f t="shared" si="2"/>
        <v>0</v>
      </c>
      <c r="N329" s="7">
        <f t="shared" si="3"/>
        <v>0</v>
      </c>
      <c r="O329" s="7">
        <f t="shared" si="4"/>
        <v>0</v>
      </c>
      <c r="P329" s="7">
        <f t="shared" si="5"/>
        <v>0</v>
      </c>
      <c r="R329" s="15"/>
      <c r="S329" s="15"/>
      <c r="T329" s="9">
        <f t="shared" si="7"/>
        <v>0</v>
      </c>
      <c r="U329" s="10"/>
      <c r="V329" s="9"/>
      <c r="W329" s="10"/>
      <c r="X329" s="13"/>
      <c r="Y329" s="13"/>
    </row>
    <row r="330" ht="31.5" customHeight="1">
      <c r="D330" s="6" t="str">
        <f t="shared" si="1"/>
        <v/>
      </c>
      <c r="H330" s="7"/>
      <c r="K330" s="7">
        <f t="shared" si="2"/>
        <v>0</v>
      </c>
      <c r="N330" s="7">
        <f t="shared" si="3"/>
        <v>0</v>
      </c>
      <c r="O330" s="7">
        <f t="shared" si="4"/>
        <v>0</v>
      </c>
      <c r="P330" s="7">
        <f t="shared" si="5"/>
        <v>0</v>
      </c>
      <c r="R330" s="15"/>
      <c r="S330" s="15"/>
      <c r="T330" s="9">
        <f t="shared" si="7"/>
        <v>0</v>
      </c>
      <c r="U330" s="10"/>
      <c r="V330" s="9"/>
      <c r="W330" s="10"/>
      <c r="X330" s="13"/>
      <c r="Y330" s="13"/>
    </row>
    <row r="331" ht="31.5" customHeight="1">
      <c r="D331" s="6" t="str">
        <f t="shared" si="1"/>
        <v/>
      </c>
      <c r="H331" s="7"/>
      <c r="K331" s="7">
        <f t="shared" si="2"/>
        <v>0</v>
      </c>
      <c r="N331" s="7">
        <f t="shared" si="3"/>
        <v>0</v>
      </c>
      <c r="O331" s="7">
        <f t="shared" si="4"/>
        <v>0</v>
      </c>
      <c r="P331" s="7">
        <f t="shared" si="5"/>
        <v>0</v>
      </c>
      <c r="R331" s="15"/>
      <c r="S331" s="15"/>
      <c r="T331" s="9">
        <f t="shared" si="7"/>
        <v>0</v>
      </c>
      <c r="U331" s="10"/>
      <c r="V331" s="9"/>
      <c r="W331" s="10"/>
      <c r="X331" s="13"/>
      <c r="Y331" s="13"/>
    </row>
    <row r="332" ht="31.5" customHeight="1">
      <c r="D332" s="6" t="str">
        <f t="shared" si="1"/>
        <v/>
      </c>
      <c r="H332" s="7"/>
      <c r="K332" s="7">
        <f t="shared" si="2"/>
        <v>0</v>
      </c>
      <c r="N332" s="7">
        <f t="shared" si="3"/>
        <v>0</v>
      </c>
      <c r="O332" s="7">
        <f t="shared" si="4"/>
        <v>0</v>
      </c>
      <c r="P332" s="7">
        <f t="shared" si="5"/>
        <v>0</v>
      </c>
      <c r="R332" s="15"/>
      <c r="S332" s="15"/>
      <c r="T332" s="9">
        <f t="shared" si="7"/>
        <v>0</v>
      </c>
      <c r="U332" s="10"/>
      <c r="V332" s="9"/>
      <c r="W332" s="10"/>
      <c r="X332" s="13"/>
      <c r="Y332" s="13"/>
    </row>
    <row r="333" ht="31.5" customHeight="1">
      <c r="D333" s="6" t="str">
        <f t="shared" si="1"/>
        <v/>
      </c>
      <c r="H333" s="7"/>
      <c r="K333" s="7">
        <f t="shared" si="2"/>
        <v>0</v>
      </c>
      <c r="N333" s="7">
        <f t="shared" si="3"/>
        <v>0</v>
      </c>
      <c r="O333" s="7">
        <f t="shared" si="4"/>
        <v>0</v>
      </c>
      <c r="P333" s="7">
        <f t="shared" si="5"/>
        <v>0</v>
      </c>
      <c r="R333" s="15"/>
      <c r="S333" s="15"/>
      <c r="T333" s="9">
        <f t="shared" si="7"/>
        <v>0</v>
      </c>
      <c r="U333" s="10"/>
      <c r="V333" s="9"/>
      <c r="W333" s="10"/>
      <c r="X333" s="13"/>
      <c r="Y333" s="13"/>
    </row>
    <row r="334" ht="31.5" customHeight="1">
      <c r="D334" s="6" t="str">
        <f t="shared" si="1"/>
        <v/>
      </c>
      <c r="H334" s="7"/>
      <c r="K334" s="7">
        <f t="shared" si="2"/>
        <v>0</v>
      </c>
      <c r="N334" s="7">
        <f t="shared" si="3"/>
        <v>0</v>
      </c>
      <c r="O334" s="7">
        <f t="shared" si="4"/>
        <v>0</v>
      </c>
      <c r="P334" s="7">
        <f t="shared" si="5"/>
        <v>0</v>
      </c>
      <c r="R334" s="15"/>
      <c r="S334" s="15"/>
      <c r="T334" s="9">
        <f t="shared" si="7"/>
        <v>0</v>
      </c>
      <c r="U334" s="10"/>
      <c r="V334" s="9"/>
      <c r="W334" s="10"/>
      <c r="X334" s="13"/>
      <c r="Y334" s="13"/>
    </row>
    <row r="335" ht="31.5" customHeight="1">
      <c r="D335" s="6" t="str">
        <f t="shared" si="1"/>
        <v/>
      </c>
      <c r="H335" s="7"/>
      <c r="K335" s="7">
        <f t="shared" si="2"/>
        <v>0</v>
      </c>
      <c r="N335" s="7">
        <f t="shared" si="3"/>
        <v>0</v>
      </c>
      <c r="O335" s="7">
        <f t="shared" si="4"/>
        <v>0</v>
      </c>
      <c r="P335" s="7">
        <f t="shared" si="5"/>
        <v>0</v>
      </c>
      <c r="R335" s="15"/>
      <c r="S335" s="15"/>
      <c r="T335" s="9">
        <f t="shared" si="7"/>
        <v>0</v>
      </c>
      <c r="U335" s="10"/>
      <c r="V335" s="9"/>
      <c r="W335" s="10"/>
      <c r="X335" s="13"/>
      <c r="Y335" s="13"/>
    </row>
    <row r="336" ht="31.5" customHeight="1">
      <c r="D336" s="6" t="str">
        <f t="shared" si="1"/>
        <v/>
      </c>
      <c r="H336" s="7"/>
      <c r="K336" s="7">
        <f t="shared" si="2"/>
        <v>0</v>
      </c>
      <c r="N336" s="7">
        <f t="shared" si="3"/>
        <v>0</v>
      </c>
      <c r="O336" s="7">
        <f t="shared" si="4"/>
        <v>0</v>
      </c>
      <c r="P336" s="7">
        <f t="shared" si="5"/>
        <v>0</v>
      </c>
      <c r="R336" s="15"/>
      <c r="S336" s="15"/>
      <c r="T336" s="9">
        <f t="shared" si="7"/>
        <v>0</v>
      </c>
      <c r="U336" s="10"/>
      <c r="V336" s="9"/>
      <c r="W336" s="10"/>
      <c r="X336" s="13"/>
      <c r="Y336" s="13"/>
    </row>
    <row r="337" ht="31.5" customHeight="1">
      <c r="D337" s="6" t="str">
        <f t="shared" si="1"/>
        <v/>
      </c>
      <c r="H337" s="7"/>
      <c r="K337" s="7">
        <f t="shared" si="2"/>
        <v>0</v>
      </c>
      <c r="N337" s="7">
        <f t="shared" si="3"/>
        <v>0</v>
      </c>
      <c r="O337" s="7">
        <f t="shared" si="4"/>
        <v>0</v>
      </c>
      <c r="P337" s="7">
        <f t="shared" si="5"/>
        <v>0</v>
      </c>
      <c r="R337" s="15"/>
      <c r="S337" s="15"/>
      <c r="T337" s="9">
        <f t="shared" si="7"/>
        <v>0</v>
      </c>
      <c r="U337" s="10"/>
      <c r="V337" s="9"/>
      <c r="W337" s="10"/>
      <c r="X337" s="13"/>
      <c r="Y337" s="13"/>
    </row>
    <row r="338" ht="31.5" customHeight="1">
      <c r="D338" s="6" t="str">
        <f t="shared" si="1"/>
        <v/>
      </c>
      <c r="H338" s="7"/>
      <c r="K338" s="7">
        <f t="shared" si="2"/>
        <v>0</v>
      </c>
      <c r="N338" s="7">
        <f t="shared" si="3"/>
        <v>0</v>
      </c>
      <c r="O338" s="7">
        <f t="shared" si="4"/>
        <v>0</v>
      </c>
      <c r="P338" s="7">
        <f t="shared" si="5"/>
        <v>0</v>
      </c>
      <c r="R338" s="15"/>
      <c r="S338" s="15"/>
      <c r="T338" s="9">
        <f t="shared" si="7"/>
        <v>0</v>
      </c>
      <c r="U338" s="10"/>
      <c r="V338" s="9"/>
      <c r="W338" s="10"/>
      <c r="X338" s="13"/>
      <c r="Y338" s="13"/>
    </row>
    <row r="339" ht="31.5" customHeight="1">
      <c r="D339" s="6" t="str">
        <f t="shared" si="1"/>
        <v/>
      </c>
      <c r="H339" s="7"/>
      <c r="K339" s="7">
        <f t="shared" si="2"/>
        <v>0</v>
      </c>
      <c r="N339" s="7">
        <f t="shared" si="3"/>
        <v>0</v>
      </c>
      <c r="O339" s="7">
        <f t="shared" si="4"/>
        <v>0</v>
      </c>
      <c r="P339" s="7">
        <f t="shared" si="5"/>
        <v>0</v>
      </c>
      <c r="R339" s="15"/>
      <c r="S339" s="15"/>
      <c r="T339" s="9">
        <f t="shared" si="7"/>
        <v>0</v>
      </c>
      <c r="U339" s="10"/>
      <c r="V339" s="9"/>
      <c r="W339" s="10"/>
      <c r="X339" s="13"/>
      <c r="Y339" s="13"/>
    </row>
    <row r="340" ht="31.5" customHeight="1">
      <c r="D340" s="6" t="str">
        <f t="shared" si="1"/>
        <v/>
      </c>
      <c r="H340" s="7"/>
      <c r="K340" s="7">
        <f t="shared" si="2"/>
        <v>0</v>
      </c>
      <c r="N340" s="7">
        <f t="shared" si="3"/>
        <v>0</v>
      </c>
      <c r="O340" s="7">
        <f t="shared" si="4"/>
        <v>0</v>
      </c>
      <c r="P340" s="7">
        <f t="shared" si="5"/>
        <v>0</v>
      </c>
      <c r="R340" s="15"/>
      <c r="S340" s="15"/>
      <c r="T340" s="9">
        <f t="shared" si="7"/>
        <v>0</v>
      </c>
      <c r="U340" s="10"/>
      <c r="V340" s="9"/>
      <c r="W340" s="10"/>
      <c r="X340" s="13"/>
      <c r="Y340" s="13"/>
    </row>
    <row r="341" ht="31.5" customHeight="1">
      <c r="D341" s="6" t="str">
        <f t="shared" si="1"/>
        <v/>
      </c>
      <c r="H341" s="7"/>
      <c r="K341" s="7">
        <f t="shared" si="2"/>
        <v>0</v>
      </c>
      <c r="N341" s="7">
        <f t="shared" si="3"/>
        <v>0</v>
      </c>
      <c r="O341" s="7">
        <f t="shared" si="4"/>
        <v>0</v>
      </c>
      <c r="P341" s="7">
        <f t="shared" si="5"/>
        <v>0</v>
      </c>
      <c r="R341" s="15"/>
      <c r="S341" s="15"/>
      <c r="T341" s="9">
        <f t="shared" si="7"/>
        <v>0</v>
      </c>
      <c r="U341" s="10"/>
      <c r="V341" s="9"/>
      <c r="W341" s="10"/>
      <c r="X341" s="13"/>
      <c r="Y341" s="13"/>
    </row>
    <row r="342" ht="31.5" customHeight="1">
      <c r="D342" s="6" t="str">
        <f t="shared" si="1"/>
        <v/>
      </c>
      <c r="H342" s="7"/>
      <c r="K342" s="7">
        <f t="shared" si="2"/>
        <v>0</v>
      </c>
      <c r="N342" s="7">
        <f t="shared" si="3"/>
        <v>0</v>
      </c>
      <c r="O342" s="7">
        <f t="shared" si="4"/>
        <v>0</v>
      </c>
      <c r="P342" s="7">
        <f t="shared" si="5"/>
        <v>0</v>
      </c>
      <c r="R342" s="15"/>
      <c r="S342" s="15"/>
      <c r="T342" s="9">
        <f t="shared" si="7"/>
        <v>0</v>
      </c>
      <c r="U342" s="10"/>
      <c r="V342" s="9"/>
      <c r="W342" s="10"/>
      <c r="X342" s="13"/>
      <c r="Y342" s="13"/>
    </row>
    <row r="343" ht="31.5" customHeight="1">
      <c r="D343" s="6" t="str">
        <f t="shared" si="1"/>
        <v/>
      </c>
      <c r="H343" s="7"/>
      <c r="K343" s="7">
        <f t="shared" si="2"/>
        <v>0</v>
      </c>
      <c r="N343" s="7">
        <f t="shared" si="3"/>
        <v>0</v>
      </c>
      <c r="O343" s="7">
        <f t="shared" si="4"/>
        <v>0</v>
      </c>
      <c r="P343" s="7">
        <f t="shared" si="5"/>
        <v>0</v>
      </c>
      <c r="R343" s="15"/>
      <c r="S343" s="15"/>
      <c r="T343" s="9">
        <f t="shared" si="7"/>
        <v>0</v>
      </c>
      <c r="U343" s="10"/>
      <c r="V343" s="9"/>
      <c r="W343" s="10"/>
      <c r="X343" s="13"/>
      <c r="Y343" s="13"/>
    </row>
    <row r="344" ht="31.5" customHeight="1">
      <c r="D344" s="6" t="str">
        <f t="shared" si="1"/>
        <v/>
      </c>
      <c r="H344" s="7"/>
      <c r="K344" s="7">
        <f t="shared" si="2"/>
        <v>0</v>
      </c>
      <c r="N344" s="7">
        <f t="shared" si="3"/>
        <v>0</v>
      </c>
      <c r="O344" s="7">
        <f t="shared" si="4"/>
        <v>0</v>
      </c>
      <c r="P344" s="7">
        <f t="shared" si="5"/>
        <v>0</v>
      </c>
      <c r="R344" s="15"/>
      <c r="S344" s="15"/>
      <c r="T344" s="9">
        <f t="shared" si="7"/>
        <v>0</v>
      </c>
      <c r="U344" s="10"/>
      <c r="V344" s="9"/>
      <c r="W344" s="10"/>
      <c r="X344" s="13"/>
      <c r="Y344" s="13"/>
    </row>
    <row r="345" ht="31.5" customHeight="1">
      <c r="D345" s="6" t="str">
        <f t="shared" si="1"/>
        <v/>
      </c>
      <c r="H345" s="7"/>
      <c r="K345" s="7">
        <f t="shared" si="2"/>
        <v>0</v>
      </c>
      <c r="N345" s="7">
        <f t="shared" si="3"/>
        <v>0</v>
      </c>
      <c r="O345" s="7">
        <f t="shared" si="4"/>
        <v>0</v>
      </c>
      <c r="P345" s="7">
        <f t="shared" si="5"/>
        <v>0</v>
      </c>
      <c r="R345" s="15"/>
      <c r="S345" s="15"/>
      <c r="T345" s="9">
        <f t="shared" si="7"/>
        <v>0</v>
      </c>
      <c r="U345" s="10"/>
      <c r="V345" s="9"/>
      <c r="W345" s="10"/>
      <c r="X345" s="13"/>
      <c r="Y345" s="13"/>
    </row>
    <row r="346" ht="31.5" customHeight="1">
      <c r="D346" s="6" t="str">
        <f t="shared" si="1"/>
        <v/>
      </c>
      <c r="H346" s="7"/>
      <c r="K346" s="7">
        <f t="shared" si="2"/>
        <v>0</v>
      </c>
      <c r="N346" s="7">
        <f t="shared" si="3"/>
        <v>0</v>
      </c>
      <c r="O346" s="7">
        <f t="shared" si="4"/>
        <v>0</v>
      </c>
      <c r="P346" s="7">
        <f t="shared" si="5"/>
        <v>0</v>
      </c>
      <c r="R346" s="15"/>
      <c r="S346" s="15"/>
      <c r="T346" s="9">
        <f t="shared" si="7"/>
        <v>0</v>
      </c>
      <c r="U346" s="10"/>
      <c r="V346" s="9"/>
      <c r="W346" s="10"/>
      <c r="X346" s="13"/>
      <c r="Y346" s="13"/>
    </row>
    <row r="347" ht="31.5" customHeight="1">
      <c r="D347" s="6" t="str">
        <f t="shared" si="1"/>
        <v/>
      </c>
      <c r="H347" s="7"/>
      <c r="K347" s="7">
        <f t="shared" si="2"/>
        <v>0</v>
      </c>
      <c r="N347" s="7">
        <f t="shared" si="3"/>
        <v>0</v>
      </c>
      <c r="O347" s="7">
        <f t="shared" si="4"/>
        <v>0</v>
      </c>
      <c r="P347" s="7">
        <f t="shared" si="5"/>
        <v>0</v>
      </c>
      <c r="R347" s="15"/>
      <c r="S347" s="15"/>
      <c r="T347" s="9">
        <f t="shared" si="7"/>
        <v>0</v>
      </c>
      <c r="U347" s="10"/>
      <c r="V347" s="9"/>
      <c r="W347" s="10"/>
      <c r="X347" s="13"/>
      <c r="Y347" s="13"/>
    </row>
    <row r="348" ht="31.5" customHeight="1">
      <c r="D348" s="6" t="str">
        <f t="shared" si="1"/>
        <v/>
      </c>
      <c r="H348" s="7"/>
      <c r="K348" s="7">
        <f t="shared" si="2"/>
        <v>0</v>
      </c>
      <c r="N348" s="7">
        <f t="shared" si="3"/>
        <v>0</v>
      </c>
      <c r="O348" s="7">
        <f t="shared" si="4"/>
        <v>0</v>
      </c>
      <c r="P348" s="7">
        <f t="shared" si="5"/>
        <v>0</v>
      </c>
      <c r="R348" s="15"/>
      <c r="S348" s="15"/>
      <c r="T348" s="9">
        <f t="shared" si="7"/>
        <v>0</v>
      </c>
      <c r="U348" s="10"/>
      <c r="V348" s="9"/>
      <c r="W348" s="10"/>
      <c r="X348" s="13"/>
      <c r="Y348" s="13"/>
    </row>
    <row r="349" ht="31.5" customHeight="1">
      <c r="D349" s="6" t="str">
        <f t="shared" si="1"/>
        <v/>
      </c>
      <c r="H349" s="7"/>
      <c r="K349" s="7">
        <f t="shared" si="2"/>
        <v>0</v>
      </c>
      <c r="N349" s="7">
        <f t="shared" si="3"/>
        <v>0</v>
      </c>
      <c r="O349" s="7">
        <f t="shared" si="4"/>
        <v>0</v>
      </c>
      <c r="P349" s="7">
        <f t="shared" si="5"/>
        <v>0</v>
      </c>
      <c r="R349" s="15"/>
      <c r="S349" s="15"/>
      <c r="T349" s="9">
        <f t="shared" si="7"/>
        <v>0</v>
      </c>
      <c r="U349" s="10"/>
      <c r="V349" s="9"/>
      <c r="W349" s="10"/>
      <c r="X349" s="13"/>
      <c r="Y349" s="13"/>
    </row>
    <row r="350" ht="31.5" customHeight="1">
      <c r="D350" s="6" t="str">
        <f t="shared" si="1"/>
        <v/>
      </c>
      <c r="H350" s="7"/>
      <c r="K350" s="7">
        <f t="shared" si="2"/>
        <v>0</v>
      </c>
      <c r="N350" s="7">
        <f t="shared" si="3"/>
        <v>0</v>
      </c>
      <c r="O350" s="7">
        <f t="shared" si="4"/>
        <v>0</v>
      </c>
      <c r="P350" s="7">
        <f t="shared" si="5"/>
        <v>0</v>
      </c>
      <c r="R350" s="15"/>
      <c r="S350" s="15"/>
      <c r="T350" s="9">
        <f t="shared" si="7"/>
        <v>0</v>
      </c>
      <c r="U350" s="10"/>
      <c r="V350" s="9"/>
      <c r="W350" s="10"/>
      <c r="X350" s="13"/>
      <c r="Y350" s="13"/>
    </row>
    <row r="351" ht="31.5" customHeight="1">
      <c r="D351" s="6" t="str">
        <f t="shared" si="1"/>
        <v/>
      </c>
      <c r="H351" s="7"/>
      <c r="K351" s="7">
        <f t="shared" si="2"/>
        <v>0</v>
      </c>
      <c r="N351" s="7">
        <f t="shared" si="3"/>
        <v>0</v>
      </c>
      <c r="O351" s="7">
        <f t="shared" si="4"/>
        <v>0</v>
      </c>
      <c r="P351" s="7">
        <f t="shared" si="5"/>
        <v>0</v>
      </c>
      <c r="R351" s="15"/>
      <c r="S351" s="15"/>
      <c r="T351" s="9">
        <f t="shared" si="7"/>
        <v>0</v>
      </c>
      <c r="U351" s="10"/>
      <c r="V351" s="9"/>
      <c r="W351" s="10"/>
      <c r="X351" s="13"/>
      <c r="Y351" s="13"/>
    </row>
    <row r="352" ht="31.5" customHeight="1">
      <c r="D352" s="6" t="str">
        <f t="shared" si="1"/>
        <v/>
      </c>
      <c r="H352" s="7"/>
      <c r="K352" s="7">
        <f t="shared" si="2"/>
        <v>0</v>
      </c>
      <c r="N352" s="7">
        <f t="shared" si="3"/>
        <v>0</v>
      </c>
      <c r="O352" s="7">
        <f t="shared" si="4"/>
        <v>0</v>
      </c>
      <c r="P352" s="7">
        <f t="shared" si="5"/>
        <v>0</v>
      </c>
      <c r="R352" s="15"/>
      <c r="S352" s="15"/>
      <c r="T352" s="9">
        <f t="shared" si="7"/>
        <v>0</v>
      </c>
      <c r="U352" s="10"/>
      <c r="V352" s="9"/>
      <c r="W352" s="10"/>
      <c r="X352" s="13"/>
      <c r="Y352" s="13"/>
    </row>
    <row r="353" ht="31.5" customHeight="1">
      <c r="D353" s="6" t="str">
        <f t="shared" si="1"/>
        <v/>
      </c>
      <c r="H353" s="7"/>
      <c r="K353" s="7">
        <f t="shared" si="2"/>
        <v>0</v>
      </c>
      <c r="N353" s="7">
        <f t="shared" si="3"/>
        <v>0</v>
      </c>
      <c r="O353" s="7">
        <f t="shared" si="4"/>
        <v>0</v>
      </c>
      <c r="P353" s="7">
        <f t="shared" si="5"/>
        <v>0</v>
      </c>
      <c r="R353" s="15"/>
      <c r="S353" s="15"/>
      <c r="T353" s="9">
        <f t="shared" si="7"/>
        <v>0</v>
      </c>
      <c r="U353" s="10"/>
      <c r="V353" s="9"/>
      <c r="W353" s="10"/>
      <c r="X353" s="13"/>
      <c r="Y353" s="13"/>
    </row>
    <row r="354" ht="31.5" customHeight="1">
      <c r="D354" s="6" t="str">
        <f t="shared" si="1"/>
        <v/>
      </c>
      <c r="H354" s="7"/>
      <c r="K354" s="7">
        <f t="shared" si="2"/>
        <v>0</v>
      </c>
      <c r="N354" s="7">
        <f t="shared" si="3"/>
        <v>0</v>
      </c>
      <c r="O354" s="7">
        <f t="shared" si="4"/>
        <v>0</v>
      </c>
      <c r="P354" s="7">
        <f t="shared" si="5"/>
        <v>0</v>
      </c>
      <c r="R354" s="15"/>
      <c r="S354" s="15"/>
      <c r="T354" s="9">
        <f t="shared" si="7"/>
        <v>0</v>
      </c>
      <c r="U354" s="10"/>
      <c r="V354" s="9"/>
      <c r="W354" s="10"/>
      <c r="X354" s="13"/>
      <c r="Y354" s="13"/>
    </row>
    <row r="355" ht="31.5" customHeight="1">
      <c r="D355" s="6" t="str">
        <f t="shared" si="1"/>
        <v/>
      </c>
      <c r="H355" s="7"/>
      <c r="K355" s="7">
        <f t="shared" si="2"/>
        <v>0</v>
      </c>
      <c r="N355" s="7">
        <f t="shared" si="3"/>
        <v>0</v>
      </c>
      <c r="O355" s="7">
        <f t="shared" si="4"/>
        <v>0</v>
      </c>
      <c r="P355" s="7">
        <f t="shared" si="5"/>
        <v>0</v>
      </c>
      <c r="R355" s="15"/>
      <c r="S355" s="15"/>
      <c r="T355" s="9">
        <f t="shared" si="7"/>
        <v>0</v>
      </c>
      <c r="U355" s="10"/>
      <c r="V355" s="9"/>
      <c r="W355" s="10"/>
      <c r="X355" s="13"/>
      <c r="Y355" s="13"/>
    </row>
    <row r="356" ht="31.5" customHeight="1">
      <c r="D356" s="6" t="str">
        <f t="shared" si="1"/>
        <v/>
      </c>
      <c r="H356" s="7"/>
      <c r="K356" s="7">
        <f t="shared" si="2"/>
        <v>0</v>
      </c>
      <c r="N356" s="7">
        <f t="shared" si="3"/>
        <v>0</v>
      </c>
      <c r="O356" s="7">
        <f t="shared" si="4"/>
        <v>0</v>
      </c>
      <c r="P356" s="7">
        <f t="shared" si="5"/>
        <v>0</v>
      </c>
      <c r="R356" s="15"/>
      <c r="S356" s="15"/>
      <c r="T356" s="9">
        <f t="shared" si="7"/>
        <v>0</v>
      </c>
      <c r="U356" s="10"/>
      <c r="V356" s="9"/>
      <c r="W356" s="10"/>
      <c r="X356" s="13"/>
      <c r="Y356" s="13"/>
    </row>
    <row r="357" ht="31.5" customHeight="1">
      <c r="D357" s="6" t="str">
        <f t="shared" si="1"/>
        <v/>
      </c>
      <c r="H357" s="7"/>
      <c r="K357" s="7">
        <f t="shared" si="2"/>
        <v>0</v>
      </c>
      <c r="N357" s="7">
        <f t="shared" si="3"/>
        <v>0</v>
      </c>
      <c r="O357" s="7">
        <f t="shared" si="4"/>
        <v>0</v>
      </c>
      <c r="P357" s="7">
        <f t="shared" si="5"/>
        <v>0</v>
      </c>
      <c r="R357" s="15"/>
      <c r="S357" s="15"/>
      <c r="T357" s="9">
        <f t="shared" si="7"/>
        <v>0</v>
      </c>
      <c r="U357" s="10"/>
      <c r="V357" s="9"/>
      <c r="W357" s="10"/>
      <c r="X357" s="13"/>
      <c r="Y357" s="13"/>
    </row>
    <row r="358" ht="31.5" customHeight="1">
      <c r="D358" s="6" t="str">
        <f t="shared" si="1"/>
        <v/>
      </c>
      <c r="H358" s="7"/>
      <c r="K358" s="7">
        <f t="shared" si="2"/>
        <v>0</v>
      </c>
      <c r="N358" s="7">
        <f t="shared" si="3"/>
        <v>0</v>
      </c>
      <c r="O358" s="7">
        <f t="shared" si="4"/>
        <v>0</v>
      </c>
      <c r="P358" s="7">
        <f t="shared" si="5"/>
        <v>0</v>
      </c>
      <c r="R358" s="15"/>
      <c r="S358" s="15"/>
      <c r="T358" s="9">
        <f t="shared" si="7"/>
        <v>0</v>
      </c>
      <c r="U358" s="10"/>
      <c r="V358" s="9"/>
      <c r="W358" s="10"/>
      <c r="X358" s="13"/>
      <c r="Y358" s="13"/>
    </row>
    <row r="359" ht="31.5" customHeight="1">
      <c r="D359" s="6" t="str">
        <f t="shared" si="1"/>
        <v/>
      </c>
      <c r="H359" s="7"/>
      <c r="K359" s="7">
        <f t="shared" si="2"/>
        <v>0</v>
      </c>
      <c r="N359" s="7">
        <f t="shared" si="3"/>
        <v>0</v>
      </c>
      <c r="O359" s="7">
        <f t="shared" si="4"/>
        <v>0</v>
      </c>
      <c r="P359" s="7">
        <f t="shared" si="5"/>
        <v>0</v>
      </c>
      <c r="R359" s="15"/>
      <c r="S359" s="15"/>
      <c r="T359" s="9">
        <f t="shared" si="7"/>
        <v>0</v>
      </c>
      <c r="U359" s="10"/>
      <c r="V359" s="9"/>
      <c r="W359" s="10"/>
      <c r="X359" s="13"/>
      <c r="Y359" s="13"/>
    </row>
    <row r="360" ht="31.5" customHeight="1">
      <c r="D360" s="6" t="str">
        <f t="shared" si="1"/>
        <v/>
      </c>
      <c r="H360" s="7"/>
      <c r="K360" s="7">
        <f t="shared" si="2"/>
        <v>0</v>
      </c>
      <c r="N360" s="7">
        <f t="shared" si="3"/>
        <v>0</v>
      </c>
      <c r="O360" s="7">
        <f t="shared" si="4"/>
        <v>0</v>
      </c>
      <c r="P360" s="7">
        <f t="shared" si="5"/>
        <v>0</v>
      </c>
      <c r="R360" s="15"/>
      <c r="S360" s="15"/>
      <c r="T360" s="9">
        <f t="shared" si="7"/>
        <v>0</v>
      </c>
      <c r="U360" s="10"/>
      <c r="V360" s="9"/>
      <c r="W360" s="10"/>
      <c r="X360" s="13"/>
      <c r="Y360" s="13"/>
    </row>
    <row r="361" ht="31.5" customHeight="1">
      <c r="D361" s="6" t="str">
        <f t="shared" si="1"/>
        <v/>
      </c>
      <c r="H361" s="7"/>
      <c r="K361" s="7">
        <f t="shared" si="2"/>
        <v>0</v>
      </c>
      <c r="N361" s="7">
        <f t="shared" si="3"/>
        <v>0</v>
      </c>
      <c r="O361" s="7">
        <f t="shared" si="4"/>
        <v>0</v>
      </c>
      <c r="P361" s="7">
        <f t="shared" si="5"/>
        <v>0</v>
      </c>
      <c r="R361" s="15"/>
      <c r="S361" s="15"/>
      <c r="T361" s="9">
        <f t="shared" si="7"/>
        <v>0</v>
      </c>
      <c r="U361" s="10"/>
      <c r="V361" s="9"/>
      <c r="W361" s="10"/>
      <c r="X361" s="13"/>
      <c r="Y361" s="13"/>
    </row>
    <row r="362" ht="31.5" customHeight="1">
      <c r="D362" s="6" t="str">
        <f t="shared" si="1"/>
        <v/>
      </c>
      <c r="H362" s="7"/>
      <c r="K362" s="7">
        <f t="shared" si="2"/>
        <v>0</v>
      </c>
      <c r="N362" s="7">
        <f t="shared" si="3"/>
        <v>0</v>
      </c>
      <c r="O362" s="7">
        <f t="shared" si="4"/>
        <v>0</v>
      </c>
      <c r="P362" s="7">
        <f t="shared" si="5"/>
        <v>0</v>
      </c>
      <c r="R362" s="15"/>
      <c r="S362" s="15"/>
      <c r="T362" s="9">
        <f t="shared" si="7"/>
        <v>0</v>
      </c>
      <c r="U362" s="10"/>
      <c r="V362" s="9"/>
      <c r="W362" s="10"/>
      <c r="X362" s="13"/>
      <c r="Y362" s="13"/>
    </row>
    <row r="363" ht="31.5" customHeight="1">
      <c r="D363" s="6" t="str">
        <f t="shared" si="1"/>
        <v/>
      </c>
      <c r="H363" s="7"/>
      <c r="K363" s="7">
        <f t="shared" si="2"/>
        <v>0</v>
      </c>
      <c r="N363" s="7">
        <f t="shared" si="3"/>
        <v>0</v>
      </c>
      <c r="O363" s="7">
        <f t="shared" si="4"/>
        <v>0</v>
      </c>
      <c r="P363" s="7">
        <f t="shared" si="5"/>
        <v>0</v>
      </c>
      <c r="R363" s="15"/>
      <c r="S363" s="15"/>
      <c r="T363" s="9">
        <f t="shared" si="7"/>
        <v>0</v>
      </c>
      <c r="U363" s="10"/>
      <c r="V363" s="9"/>
      <c r="W363" s="10"/>
      <c r="X363" s="13"/>
      <c r="Y363" s="13"/>
    </row>
    <row r="364" ht="31.5" customHeight="1">
      <c r="D364" s="6" t="str">
        <f t="shared" si="1"/>
        <v/>
      </c>
      <c r="H364" s="7"/>
      <c r="K364" s="7">
        <f t="shared" si="2"/>
        <v>0</v>
      </c>
      <c r="N364" s="7">
        <f t="shared" si="3"/>
        <v>0</v>
      </c>
      <c r="O364" s="7">
        <f t="shared" si="4"/>
        <v>0</v>
      </c>
      <c r="P364" s="7">
        <f t="shared" si="5"/>
        <v>0</v>
      </c>
      <c r="R364" s="15"/>
      <c r="S364" s="15"/>
      <c r="T364" s="9">
        <f t="shared" si="7"/>
        <v>0</v>
      </c>
      <c r="U364" s="10"/>
      <c r="V364" s="9"/>
      <c r="W364" s="10"/>
      <c r="X364" s="13"/>
      <c r="Y364" s="13"/>
    </row>
    <row r="365" ht="31.5" customHeight="1">
      <c r="D365" s="6" t="str">
        <f t="shared" si="1"/>
        <v/>
      </c>
      <c r="H365" s="7"/>
      <c r="K365" s="7">
        <f t="shared" si="2"/>
        <v>0</v>
      </c>
      <c r="N365" s="7">
        <f t="shared" si="3"/>
        <v>0</v>
      </c>
      <c r="O365" s="7">
        <f t="shared" si="4"/>
        <v>0</v>
      </c>
      <c r="P365" s="7">
        <f t="shared" si="5"/>
        <v>0</v>
      </c>
      <c r="R365" s="15"/>
      <c r="S365" s="15"/>
      <c r="T365" s="9">
        <f t="shared" si="7"/>
        <v>0</v>
      </c>
      <c r="U365" s="10"/>
      <c r="V365" s="9"/>
      <c r="W365" s="10"/>
      <c r="X365" s="13"/>
      <c r="Y365" s="13"/>
    </row>
    <row r="366" ht="31.5" customHeight="1">
      <c r="D366" s="6" t="str">
        <f t="shared" si="1"/>
        <v/>
      </c>
      <c r="H366" s="7"/>
      <c r="K366" s="7">
        <f t="shared" si="2"/>
        <v>0</v>
      </c>
      <c r="N366" s="7">
        <f t="shared" si="3"/>
        <v>0</v>
      </c>
      <c r="O366" s="7">
        <f t="shared" si="4"/>
        <v>0</v>
      </c>
      <c r="P366" s="7">
        <f t="shared" si="5"/>
        <v>0</v>
      </c>
      <c r="R366" s="15"/>
      <c r="S366" s="15"/>
      <c r="T366" s="9">
        <f t="shared" si="7"/>
        <v>0</v>
      </c>
      <c r="U366" s="10"/>
      <c r="V366" s="9"/>
      <c r="W366" s="10"/>
      <c r="X366" s="13"/>
      <c r="Y366" s="13"/>
    </row>
    <row r="367" ht="31.5" customHeight="1">
      <c r="D367" s="6" t="str">
        <f t="shared" si="1"/>
        <v/>
      </c>
      <c r="H367" s="7"/>
      <c r="K367" s="7">
        <f t="shared" si="2"/>
        <v>0</v>
      </c>
      <c r="N367" s="7">
        <f t="shared" si="3"/>
        <v>0</v>
      </c>
      <c r="O367" s="7">
        <f t="shared" si="4"/>
        <v>0</v>
      </c>
      <c r="P367" s="7">
        <f t="shared" si="5"/>
        <v>0</v>
      </c>
      <c r="R367" s="15"/>
      <c r="S367" s="15"/>
      <c r="T367" s="9">
        <f t="shared" si="7"/>
        <v>0</v>
      </c>
      <c r="U367" s="10"/>
      <c r="V367" s="9"/>
      <c r="W367" s="10"/>
      <c r="X367" s="13"/>
      <c r="Y367" s="13"/>
    </row>
    <row r="368" ht="31.5" customHeight="1">
      <c r="D368" s="6" t="str">
        <f t="shared" si="1"/>
        <v/>
      </c>
      <c r="H368" s="7"/>
      <c r="K368" s="7">
        <f t="shared" si="2"/>
        <v>0</v>
      </c>
      <c r="N368" s="7">
        <f t="shared" si="3"/>
        <v>0</v>
      </c>
      <c r="O368" s="7">
        <f t="shared" si="4"/>
        <v>0</v>
      </c>
      <c r="P368" s="7">
        <f t="shared" si="5"/>
        <v>0</v>
      </c>
      <c r="R368" s="15"/>
      <c r="S368" s="15"/>
      <c r="T368" s="9">
        <f t="shared" si="7"/>
        <v>0</v>
      </c>
      <c r="U368" s="10"/>
      <c r="V368" s="9"/>
      <c r="W368" s="10"/>
      <c r="X368" s="13"/>
      <c r="Y368" s="13"/>
    </row>
    <row r="369" ht="31.5" customHeight="1">
      <c r="D369" s="6" t="str">
        <f t="shared" si="1"/>
        <v/>
      </c>
      <c r="H369" s="7"/>
      <c r="K369" s="7">
        <f t="shared" si="2"/>
        <v>0</v>
      </c>
      <c r="N369" s="7">
        <f t="shared" si="3"/>
        <v>0</v>
      </c>
      <c r="O369" s="7">
        <f t="shared" si="4"/>
        <v>0</v>
      </c>
      <c r="P369" s="7">
        <f t="shared" si="5"/>
        <v>0</v>
      </c>
      <c r="R369" s="15"/>
      <c r="S369" s="15"/>
      <c r="T369" s="9">
        <f t="shared" si="7"/>
        <v>0</v>
      </c>
      <c r="U369" s="10"/>
      <c r="V369" s="9"/>
      <c r="W369" s="10"/>
      <c r="X369" s="13"/>
      <c r="Y369" s="13"/>
    </row>
    <row r="370" ht="31.5" customHeight="1">
      <c r="D370" s="6" t="str">
        <f t="shared" si="1"/>
        <v/>
      </c>
      <c r="H370" s="7"/>
      <c r="K370" s="7">
        <f t="shared" si="2"/>
        <v>0</v>
      </c>
      <c r="N370" s="7">
        <f t="shared" si="3"/>
        <v>0</v>
      </c>
      <c r="O370" s="7">
        <f t="shared" si="4"/>
        <v>0</v>
      </c>
      <c r="P370" s="7">
        <f t="shared" si="5"/>
        <v>0</v>
      </c>
      <c r="R370" s="15"/>
      <c r="S370" s="15"/>
      <c r="T370" s="9">
        <f t="shared" si="7"/>
        <v>0</v>
      </c>
      <c r="U370" s="10"/>
      <c r="V370" s="9"/>
      <c r="W370" s="10"/>
      <c r="X370" s="13"/>
      <c r="Y370" s="13"/>
    </row>
    <row r="371" ht="31.5" customHeight="1">
      <c r="D371" s="6" t="str">
        <f t="shared" si="1"/>
        <v/>
      </c>
      <c r="H371" s="7"/>
      <c r="K371" s="7">
        <f t="shared" si="2"/>
        <v>0</v>
      </c>
      <c r="N371" s="7">
        <f t="shared" si="3"/>
        <v>0</v>
      </c>
      <c r="O371" s="7">
        <f t="shared" si="4"/>
        <v>0</v>
      </c>
      <c r="P371" s="7">
        <f t="shared" si="5"/>
        <v>0</v>
      </c>
      <c r="R371" s="15"/>
      <c r="S371" s="15"/>
      <c r="T371" s="9">
        <f t="shared" si="7"/>
        <v>0</v>
      </c>
      <c r="U371" s="10"/>
      <c r="V371" s="9"/>
      <c r="W371" s="10"/>
      <c r="X371" s="13"/>
      <c r="Y371" s="13"/>
    </row>
    <row r="372" ht="31.5" customHeight="1">
      <c r="D372" s="6" t="str">
        <f t="shared" si="1"/>
        <v/>
      </c>
      <c r="H372" s="7"/>
      <c r="K372" s="7">
        <f t="shared" si="2"/>
        <v>0</v>
      </c>
      <c r="N372" s="7">
        <f t="shared" si="3"/>
        <v>0</v>
      </c>
      <c r="O372" s="7">
        <f t="shared" si="4"/>
        <v>0</v>
      </c>
      <c r="P372" s="7">
        <f t="shared" si="5"/>
        <v>0</v>
      </c>
      <c r="R372" s="15"/>
      <c r="S372" s="15"/>
      <c r="T372" s="9">
        <f t="shared" si="7"/>
        <v>0</v>
      </c>
      <c r="U372" s="10"/>
      <c r="V372" s="9"/>
      <c r="W372" s="10"/>
      <c r="X372" s="13"/>
      <c r="Y372" s="13"/>
    </row>
    <row r="373" ht="31.5" customHeight="1">
      <c r="D373" s="6" t="str">
        <f t="shared" si="1"/>
        <v/>
      </c>
      <c r="H373" s="7"/>
      <c r="K373" s="7">
        <f t="shared" si="2"/>
        <v>0</v>
      </c>
      <c r="N373" s="7">
        <f t="shared" si="3"/>
        <v>0</v>
      </c>
      <c r="O373" s="7">
        <f t="shared" si="4"/>
        <v>0</v>
      </c>
      <c r="P373" s="7">
        <f t="shared" si="5"/>
        <v>0</v>
      </c>
      <c r="R373" s="15"/>
      <c r="S373" s="15"/>
      <c r="T373" s="9">
        <f t="shared" si="7"/>
        <v>0</v>
      </c>
      <c r="U373" s="10"/>
      <c r="V373" s="9"/>
      <c r="W373" s="10"/>
      <c r="X373" s="13"/>
      <c r="Y373" s="13"/>
    </row>
    <row r="374" ht="31.5" customHeight="1">
      <c r="D374" s="6" t="str">
        <f t="shared" si="1"/>
        <v/>
      </c>
      <c r="H374" s="7"/>
      <c r="K374" s="7">
        <f t="shared" si="2"/>
        <v>0</v>
      </c>
      <c r="N374" s="7">
        <f t="shared" si="3"/>
        <v>0</v>
      </c>
      <c r="O374" s="7">
        <f t="shared" si="4"/>
        <v>0</v>
      </c>
      <c r="P374" s="7">
        <f t="shared" si="5"/>
        <v>0</v>
      </c>
      <c r="R374" s="15"/>
      <c r="S374" s="15"/>
      <c r="T374" s="9">
        <f t="shared" si="7"/>
        <v>0</v>
      </c>
      <c r="U374" s="10"/>
      <c r="V374" s="9"/>
      <c r="W374" s="10"/>
      <c r="X374" s="13"/>
      <c r="Y374" s="13"/>
    </row>
    <row r="375" ht="31.5" customHeight="1">
      <c r="D375" s="6" t="str">
        <f t="shared" si="1"/>
        <v/>
      </c>
      <c r="H375" s="7"/>
      <c r="K375" s="7">
        <f t="shared" si="2"/>
        <v>0</v>
      </c>
      <c r="N375" s="7">
        <f t="shared" si="3"/>
        <v>0</v>
      </c>
      <c r="O375" s="7">
        <f t="shared" si="4"/>
        <v>0</v>
      </c>
      <c r="P375" s="7">
        <f t="shared" si="5"/>
        <v>0</v>
      </c>
      <c r="R375" s="15"/>
      <c r="S375" s="15"/>
      <c r="T375" s="9">
        <f t="shared" si="7"/>
        <v>0</v>
      </c>
      <c r="U375" s="10"/>
      <c r="V375" s="9"/>
      <c r="W375" s="10"/>
      <c r="X375" s="13"/>
      <c r="Y375" s="13"/>
    </row>
    <row r="376" ht="31.5" customHeight="1">
      <c r="D376" s="6" t="str">
        <f t="shared" si="1"/>
        <v/>
      </c>
      <c r="H376" s="7"/>
      <c r="K376" s="7">
        <f t="shared" si="2"/>
        <v>0</v>
      </c>
      <c r="N376" s="7">
        <f t="shared" si="3"/>
        <v>0</v>
      </c>
      <c r="O376" s="7">
        <f t="shared" si="4"/>
        <v>0</v>
      </c>
      <c r="P376" s="7">
        <f t="shared" si="5"/>
        <v>0</v>
      </c>
      <c r="R376" s="15"/>
      <c r="S376" s="15"/>
      <c r="T376" s="9">
        <f t="shared" si="7"/>
        <v>0</v>
      </c>
      <c r="U376" s="10"/>
      <c r="V376" s="9"/>
      <c r="W376" s="10"/>
      <c r="X376" s="13"/>
      <c r="Y376" s="13"/>
    </row>
    <row r="377" ht="31.5" customHeight="1">
      <c r="D377" s="6" t="str">
        <f t="shared" si="1"/>
        <v/>
      </c>
      <c r="H377" s="7"/>
      <c r="K377" s="7">
        <f t="shared" si="2"/>
        <v>0</v>
      </c>
      <c r="N377" s="7">
        <f t="shared" si="3"/>
        <v>0</v>
      </c>
      <c r="O377" s="7">
        <f t="shared" si="4"/>
        <v>0</v>
      </c>
      <c r="P377" s="7">
        <f t="shared" si="5"/>
        <v>0</v>
      </c>
      <c r="R377" s="15"/>
      <c r="S377" s="15"/>
      <c r="T377" s="9">
        <f t="shared" si="7"/>
        <v>0</v>
      </c>
      <c r="U377" s="10"/>
      <c r="V377" s="9"/>
      <c r="W377" s="10"/>
      <c r="X377" s="13"/>
      <c r="Y377" s="13"/>
    </row>
    <row r="378" ht="31.5" customHeight="1">
      <c r="D378" s="6" t="str">
        <f t="shared" si="1"/>
        <v/>
      </c>
      <c r="H378" s="7"/>
      <c r="K378" s="7">
        <f t="shared" si="2"/>
        <v>0</v>
      </c>
      <c r="N378" s="7">
        <f t="shared" si="3"/>
        <v>0</v>
      </c>
      <c r="O378" s="7">
        <f t="shared" si="4"/>
        <v>0</v>
      </c>
      <c r="P378" s="7">
        <f t="shared" si="5"/>
        <v>0</v>
      </c>
      <c r="R378" s="15"/>
      <c r="S378" s="15"/>
      <c r="T378" s="9">
        <f t="shared" si="7"/>
        <v>0</v>
      </c>
      <c r="U378" s="10"/>
      <c r="V378" s="9"/>
      <c r="W378" s="10"/>
      <c r="X378" s="13"/>
      <c r="Y378" s="13"/>
    </row>
    <row r="379" ht="31.5" customHeight="1">
      <c r="D379" s="6" t="str">
        <f t="shared" si="1"/>
        <v/>
      </c>
      <c r="H379" s="7"/>
      <c r="K379" s="7">
        <f t="shared" si="2"/>
        <v>0</v>
      </c>
      <c r="N379" s="7">
        <f t="shared" si="3"/>
        <v>0</v>
      </c>
      <c r="O379" s="7">
        <f t="shared" si="4"/>
        <v>0</v>
      </c>
      <c r="P379" s="7">
        <f t="shared" si="5"/>
        <v>0</v>
      </c>
      <c r="R379" s="15"/>
      <c r="S379" s="15"/>
      <c r="T379" s="9">
        <f t="shared" si="7"/>
        <v>0</v>
      </c>
      <c r="U379" s="10"/>
      <c r="V379" s="9"/>
      <c r="W379" s="10"/>
      <c r="X379" s="13"/>
      <c r="Y379" s="13"/>
    </row>
    <row r="380" ht="31.5" customHeight="1">
      <c r="D380" s="6" t="str">
        <f t="shared" si="1"/>
        <v/>
      </c>
      <c r="H380" s="7"/>
      <c r="K380" s="7">
        <f t="shared" si="2"/>
        <v>0</v>
      </c>
      <c r="N380" s="7">
        <f t="shared" si="3"/>
        <v>0</v>
      </c>
      <c r="O380" s="7">
        <f t="shared" si="4"/>
        <v>0</v>
      </c>
      <c r="P380" s="7">
        <f t="shared" si="5"/>
        <v>0</v>
      </c>
      <c r="R380" s="15"/>
      <c r="S380" s="15"/>
      <c r="T380" s="9">
        <f t="shared" si="7"/>
        <v>0</v>
      </c>
      <c r="U380" s="10"/>
      <c r="V380" s="9"/>
      <c r="W380" s="10"/>
      <c r="X380" s="13"/>
      <c r="Y380" s="13"/>
    </row>
    <row r="381" ht="31.5" customHeight="1">
      <c r="D381" s="6" t="str">
        <f t="shared" si="1"/>
        <v/>
      </c>
      <c r="H381" s="7"/>
      <c r="K381" s="7">
        <f t="shared" si="2"/>
        <v>0</v>
      </c>
      <c r="N381" s="7">
        <f t="shared" si="3"/>
        <v>0</v>
      </c>
      <c r="O381" s="7">
        <f t="shared" si="4"/>
        <v>0</v>
      </c>
      <c r="P381" s="7">
        <f t="shared" si="5"/>
        <v>0</v>
      </c>
      <c r="R381" s="15"/>
      <c r="S381" s="15"/>
      <c r="T381" s="9">
        <f t="shared" si="7"/>
        <v>0</v>
      </c>
      <c r="U381" s="10"/>
      <c r="V381" s="9"/>
      <c r="W381" s="10"/>
      <c r="X381" s="13"/>
      <c r="Y381" s="13"/>
    </row>
    <row r="382" ht="31.5" customHeight="1">
      <c r="D382" s="6" t="str">
        <f t="shared" si="1"/>
        <v/>
      </c>
      <c r="H382" s="7"/>
      <c r="K382" s="7">
        <f t="shared" si="2"/>
        <v>0</v>
      </c>
      <c r="N382" s="7">
        <f t="shared" si="3"/>
        <v>0</v>
      </c>
      <c r="O382" s="7">
        <f t="shared" si="4"/>
        <v>0</v>
      </c>
      <c r="P382" s="7">
        <f t="shared" si="5"/>
        <v>0</v>
      </c>
      <c r="R382" s="15"/>
      <c r="S382" s="15"/>
      <c r="T382" s="9">
        <f t="shared" si="7"/>
        <v>0</v>
      </c>
      <c r="U382" s="10"/>
      <c r="V382" s="9"/>
      <c r="W382" s="10"/>
      <c r="X382" s="13"/>
      <c r="Y382" s="13"/>
    </row>
    <row r="383" ht="31.5" customHeight="1">
      <c r="D383" s="6" t="str">
        <f t="shared" si="1"/>
        <v/>
      </c>
      <c r="H383" s="7"/>
      <c r="K383" s="7">
        <f t="shared" si="2"/>
        <v>0</v>
      </c>
      <c r="N383" s="7">
        <f t="shared" si="3"/>
        <v>0</v>
      </c>
      <c r="O383" s="7">
        <f t="shared" si="4"/>
        <v>0</v>
      </c>
      <c r="P383" s="7">
        <f t="shared" si="5"/>
        <v>0</v>
      </c>
      <c r="R383" s="15"/>
      <c r="S383" s="15"/>
      <c r="T383" s="9">
        <f t="shared" si="7"/>
        <v>0</v>
      </c>
      <c r="U383" s="10"/>
      <c r="V383" s="9"/>
      <c r="W383" s="10"/>
      <c r="X383" s="13"/>
      <c r="Y383" s="13"/>
    </row>
    <row r="384" ht="31.5" customHeight="1">
      <c r="D384" s="6" t="str">
        <f t="shared" si="1"/>
        <v/>
      </c>
      <c r="H384" s="7"/>
      <c r="K384" s="7">
        <f t="shared" si="2"/>
        <v>0</v>
      </c>
      <c r="N384" s="7">
        <f t="shared" si="3"/>
        <v>0</v>
      </c>
      <c r="O384" s="7">
        <f t="shared" si="4"/>
        <v>0</v>
      </c>
      <c r="P384" s="7">
        <f t="shared" si="5"/>
        <v>0</v>
      </c>
      <c r="R384" s="15"/>
      <c r="S384" s="15"/>
      <c r="T384" s="9">
        <f t="shared" si="7"/>
        <v>0</v>
      </c>
      <c r="U384" s="10"/>
      <c r="V384" s="9"/>
      <c r="W384" s="10"/>
      <c r="X384" s="13"/>
      <c r="Y384" s="13"/>
    </row>
    <row r="385" ht="31.5" customHeight="1">
      <c r="D385" s="6" t="str">
        <f t="shared" si="1"/>
        <v/>
      </c>
      <c r="H385" s="7"/>
      <c r="K385" s="7">
        <f t="shared" si="2"/>
        <v>0</v>
      </c>
      <c r="N385" s="7">
        <f t="shared" si="3"/>
        <v>0</v>
      </c>
      <c r="O385" s="7">
        <f t="shared" si="4"/>
        <v>0</v>
      </c>
      <c r="P385" s="7">
        <f t="shared" si="5"/>
        <v>0</v>
      </c>
      <c r="R385" s="15"/>
      <c r="S385" s="15"/>
      <c r="T385" s="9">
        <f t="shared" si="7"/>
        <v>0</v>
      </c>
      <c r="U385" s="10"/>
      <c r="V385" s="9"/>
      <c r="W385" s="10"/>
      <c r="X385" s="13"/>
      <c r="Y385" s="13"/>
    </row>
    <row r="386" ht="31.5" customHeight="1">
      <c r="D386" s="6" t="str">
        <f t="shared" si="1"/>
        <v/>
      </c>
      <c r="H386" s="7"/>
      <c r="K386" s="7">
        <f t="shared" si="2"/>
        <v>0</v>
      </c>
      <c r="N386" s="7">
        <f t="shared" si="3"/>
        <v>0</v>
      </c>
      <c r="O386" s="7">
        <f t="shared" si="4"/>
        <v>0</v>
      </c>
      <c r="P386" s="7">
        <f t="shared" si="5"/>
        <v>0</v>
      </c>
      <c r="R386" s="15"/>
      <c r="S386" s="15"/>
      <c r="T386" s="9">
        <f t="shared" si="7"/>
        <v>0</v>
      </c>
      <c r="U386" s="10"/>
      <c r="V386" s="9"/>
      <c r="W386" s="10"/>
      <c r="X386" s="13"/>
      <c r="Y386" s="13"/>
    </row>
    <row r="387" ht="31.5" customHeight="1">
      <c r="D387" s="6" t="str">
        <f t="shared" si="1"/>
        <v/>
      </c>
      <c r="H387" s="7"/>
      <c r="K387" s="7">
        <f t="shared" si="2"/>
        <v>0</v>
      </c>
      <c r="N387" s="7">
        <f t="shared" si="3"/>
        <v>0</v>
      </c>
      <c r="O387" s="7">
        <f t="shared" si="4"/>
        <v>0</v>
      </c>
      <c r="P387" s="7">
        <f t="shared" si="5"/>
        <v>0</v>
      </c>
      <c r="R387" s="15"/>
      <c r="S387" s="15"/>
      <c r="T387" s="9">
        <f t="shared" si="7"/>
        <v>0</v>
      </c>
      <c r="U387" s="10"/>
      <c r="V387" s="9"/>
      <c r="W387" s="10"/>
      <c r="X387" s="13"/>
      <c r="Y387" s="13"/>
    </row>
    <row r="388" ht="31.5" customHeight="1">
      <c r="D388" s="6" t="str">
        <f t="shared" si="1"/>
        <v/>
      </c>
      <c r="H388" s="7"/>
      <c r="K388" s="7">
        <f t="shared" si="2"/>
        <v>0</v>
      </c>
      <c r="N388" s="7">
        <f t="shared" si="3"/>
        <v>0</v>
      </c>
      <c r="O388" s="7">
        <f t="shared" si="4"/>
        <v>0</v>
      </c>
      <c r="P388" s="7">
        <f t="shared" si="5"/>
        <v>0</v>
      </c>
      <c r="R388" s="15"/>
      <c r="S388" s="15"/>
      <c r="T388" s="9">
        <f t="shared" si="7"/>
        <v>0</v>
      </c>
      <c r="U388" s="10"/>
      <c r="V388" s="9"/>
      <c r="W388" s="10"/>
      <c r="X388" s="13"/>
      <c r="Y388" s="13"/>
    </row>
    <row r="389" ht="31.5" customHeight="1">
      <c r="D389" s="6" t="str">
        <f t="shared" si="1"/>
        <v/>
      </c>
      <c r="H389" s="7"/>
      <c r="K389" s="7">
        <f t="shared" si="2"/>
        <v>0</v>
      </c>
      <c r="N389" s="7">
        <f t="shared" si="3"/>
        <v>0</v>
      </c>
      <c r="O389" s="7">
        <f t="shared" si="4"/>
        <v>0</v>
      </c>
      <c r="P389" s="7">
        <f t="shared" si="5"/>
        <v>0</v>
      </c>
      <c r="R389" s="15"/>
      <c r="S389" s="15"/>
      <c r="T389" s="9">
        <f t="shared" si="7"/>
        <v>0</v>
      </c>
      <c r="U389" s="10"/>
      <c r="V389" s="9"/>
      <c r="W389" s="10"/>
      <c r="X389" s="13"/>
      <c r="Y389" s="13"/>
    </row>
    <row r="390" ht="31.5" customHeight="1">
      <c r="D390" s="6" t="str">
        <f t="shared" si="1"/>
        <v/>
      </c>
      <c r="H390" s="7"/>
      <c r="K390" s="7">
        <f t="shared" si="2"/>
        <v>0</v>
      </c>
      <c r="N390" s="7">
        <f t="shared" si="3"/>
        <v>0</v>
      </c>
      <c r="O390" s="7">
        <f t="shared" si="4"/>
        <v>0</v>
      </c>
      <c r="P390" s="7">
        <f t="shared" si="5"/>
        <v>0</v>
      </c>
      <c r="R390" s="15"/>
      <c r="S390" s="15"/>
      <c r="T390" s="9">
        <f t="shared" si="7"/>
        <v>0</v>
      </c>
      <c r="U390" s="10"/>
      <c r="V390" s="9"/>
      <c r="W390" s="10"/>
      <c r="X390" s="13"/>
      <c r="Y390" s="13"/>
    </row>
    <row r="391" ht="31.5" customHeight="1">
      <c r="D391" s="6" t="str">
        <f t="shared" si="1"/>
        <v/>
      </c>
      <c r="H391" s="7"/>
      <c r="K391" s="7">
        <f t="shared" si="2"/>
        <v>0</v>
      </c>
      <c r="N391" s="7">
        <f t="shared" si="3"/>
        <v>0</v>
      </c>
      <c r="O391" s="7">
        <f t="shared" si="4"/>
        <v>0</v>
      </c>
      <c r="P391" s="7">
        <f t="shared" si="5"/>
        <v>0</v>
      </c>
      <c r="R391" s="15"/>
      <c r="S391" s="15"/>
      <c r="T391" s="9">
        <f t="shared" si="7"/>
        <v>0</v>
      </c>
      <c r="U391" s="10"/>
      <c r="V391" s="9"/>
      <c r="W391" s="10"/>
      <c r="X391" s="13"/>
      <c r="Y391" s="13"/>
    </row>
    <row r="392" ht="31.5" customHeight="1">
      <c r="D392" s="6" t="str">
        <f t="shared" si="1"/>
        <v/>
      </c>
      <c r="H392" s="7"/>
      <c r="K392" s="7">
        <f t="shared" si="2"/>
        <v>0</v>
      </c>
      <c r="N392" s="7">
        <f t="shared" si="3"/>
        <v>0</v>
      </c>
      <c r="O392" s="7">
        <f t="shared" si="4"/>
        <v>0</v>
      </c>
      <c r="P392" s="7">
        <f t="shared" si="5"/>
        <v>0</v>
      </c>
      <c r="R392" s="15"/>
      <c r="S392" s="15"/>
      <c r="T392" s="9">
        <f t="shared" si="7"/>
        <v>0</v>
      </c>
      <c r="U392" s="10"/>
      <c r="V392" s="9"/>
      <c r="W392" s="10"/>
      <c r="X392" s="13"/>
      <c r="Y392" s="13"/>
    </row>
    <row r="393" ht="31.5" customHeight="1">
      <c r="D393" s="6" t="str">
        <f t="shared" si="1"/>
        <v/>
      </c>
      <c r="H393" s="7"/>
      <c r="K393" s="7">
        <f t="shared" si="2"/>
        <v>0</v>
      </c>
      <c r="N393" s="7">
        <f t="shared" si="3"/>
        <v>0</v>
      </c>
      <c r="O393" s="7">
        <f t="shared" si="4"/>
        <v>0</v>
      </c>
      <c r="P393" s="7">
        <f t="shared" si="5"/>
        <v>0</v>
      </c>
      <c r="R393" s="15"/>
      <c r="S393" s="15"/>
      <c r="T393" s="9">
        <f t="shared" si="7"/>
        <v>0</v>
      </c>
      <c r="U393" s="10"/>
      <c r="V393" s="9"/>
      <c r="W393" s="10"/>
      <c r="X393" s="13"/>
      <c r="Y393" s="13"/>
    </row>
    <row r="394" ht="31.5" customHeight="1">
      <c r="D394" s="6" t="str">
        <f t="shared" si="1"/>
        <v/>
      </c>
      <c r="H394" s="7"/>
      <c r="K394" s="7">
        <f t="shared" si="2"/>
        <v>0</v>
      </c>
      <c r="N394" s="7">
        <f t="shared" si="3"/>
        <v>0</v>
      </c>
      <c r="O394" s="7">
        <f t="shared" si="4"/>
        <v>0</v>
      </c>
      <c r="P394" s="7">
        <f t="shared" si="5"/>
        <v>0</v>
      </c>
      <c r="R394" s="15"/>
      <c r="S394" s="15"/>
      <c r="T394" s="9">
        <f t="shared" si="7"/>
        <v>0</v>
      </c>
      <c r="U394" s="10"/>
      <c r="V394" s="9"/>
      <c r="W394" s="10"/>
      <c r="X394" s="13"/>
      <c r="Y394" s="13"/>
    </row>
    <row r="395" ht="31.5" customHeight="1">
      <c r="D395" s="6" t="str">
        <f t="shared" si="1"/>
        <v/>
      </c>
      <c r="H395" s="7"/>
      <c r="K395" s="7">
        <f t="shared" si="2"/>
        <v>0</v>
      </c>
      <c r="N395" s="7">
        <f t="shared" si="3"/>
        <v>0</v>
      </c>
      <c r="O395" s="7">
        <f t="shared" si="4"/>
        <v>0</v>
      </c>
      <c r="P395" s="7">
        <f t="shared" si="5"/>
        <v>0</v>
      </c>
      <c r="R395" s="15"/>
      <c r="S395" s="15"/>
      <c r="T395" s="9">
        <f t="shared" si="7"/>
        <v>0</v>
      </c>
      <c r="U395" s="10"/>
      <c r="V395" s="9"/>
      <c r="W395" s="10"/>
      <c r="X395" s="13"/>
      <c r="Y395" s="13"/>
    </row>
    <row r="396" ht="31.5" customHeight="1">
      <c r="D396" s="6" t="str">
        <f t="shared" si="1"/>
        <v/>
      </c>
      <c r="H396" s="7"/>
      <c r="K396" s="7">
        <f t="shared" si="2"/>
        <v>0</v>
      </c>
      <c r="N396" s="7">
        <f t="shared" si="3"/>
        <v>0</v>
      </c>
      <c r="O396" s="7">
        <f t="shared" si="4"/>
        <v>0</v>
      </c>
      <c r="P396" s="7">
        <f t="shared" si="5"/>
        <v>0</v>
      </c>
      <c r="R396" s="15"/>
      <c r="S396" s="15"/>
      <c r="T396" s="9">
        <f t="shared" si="7"/>
        <v>0</v>
      </c>
      <c r="U396" s="10"/>
      <c r="V396" s="9"/>
      <c r="W396" s="10"/>
      <c r="X396" s="13"/>
      <c r="Y396" s="13"/>
    </row>
    <row r="397" ht="31.5" customHeight="1">
      <c r="D397" s="6" t="str">
        <f t="shared" si="1"/>
        <v/>
      </c>
      <c r="H397" s="7"/>
      <c r="K397" s="7">
        <f t="shared" si="2"/>
        <v>0</v>
      </c>
      <c r="N397" s="7">
        <f t="shared" si="3"/>
        <v>0</v>
      </c>
      <c r="O397" s="7">
        <f t="shared" si="4"/>
        <v>0</v>
      </c>
      <c r="P397" s="7">
        <f t="shared" si="5"/>
        <v>0</v>
      </c>
      <c r="R397" s="15"/>
      <c r="S397" s="15"/>
      <c r="T397" s="9">
        <f t="shared" si="7"/>
        <v>0</v>
      </c>
      <c r="U397" s="10"/>
      <c r="V397" s="9"/>
      <c r="W397" s="10"/>
      <c r="X397" s="13"/>
      <c r="Y397" s="13"/>
    </row>
    <row r="398" ht="31.5" customHeight="1">
      <c r="D398" s="6" t="str">
        <f t="shared" si="1"/>
        <v/>
      </c>
      <c r="H398" s="7"/>
      <c r="K398" s="7">
        <f t="shared" si="2"/>
        <v>0</v>
      </c>
      <c r="N398" s="7">
        <f t="shared" si="3"/>
        <v>0</v>
      </c>
      <c r="O398" s="7">
        <f t="shared" si="4"/>
        <v>0</v>
      </c>
      <c r="P398" s="7">
        <f t="shared" si="5"/>
        <v>0</v>
      </c>
      <c r="R398" s="15"/>
      <c r="S398" s="15"/>
      <c r="T398" s="9">
        <f t="shared" si="7"/>
        <v>0</v>
      </c>
      <c r="U398" s="10"/>
      <c r="V398" s="9"/>
      <c r="W398" s="10"/>
      <c r="X398" s="13"/>
      <c r="Y398" s="13"/>
    </row>
    <row r="399" ht="31.5" customHeight="1">
      <c r="D399" s="6" t="str">
        <f t="shared" si="1"/>
        <v/>
      </c>
      <c r="H399" s="7"/>
      <c r="K399" s="7">
        <f t="shared" si="2"/>
        <v>0</v>
      </c>
      <c r="N399" s="7">
        <f t="shared" si="3"/>
        <v>0</v>
      </c>
      <c r="O399" s="7">
        <f t="shared" si="4"/>
        <v>0</v>
      </c>
      <c r="P399" s="7">
        <f t="shared" si="5"/>
        <v>0</v>
      </c>
      <c r="R399" s="15"/>
      <c r="S399" s="15"/>
      <c r="T399" s="9">
        <f t="shared" si="7"/>
        <v>0</v>
      </c>
      <c r="U399" s="10"/>
      <c r="V399" s="9"/>
      <c r="W399" s="10"/>
      <c r="X399" s="13"/>
      <c r="Y399" s="13"/>
    </row>
    <row r="400" ht="31.5" customHeight="1">
      <c r="D400" s="6" t="str">
        <f t="shared" si="1"/>
        <v/>
      </c>
      <c r="H400" s="7"/>
      <c r="K400" s="7">
        <f t="shared" si="2"/>
        <v>0</v>
      </c>
      <c r="N400" s="7">
        <f t="shared" si="3"/>
        <v>0</v>
      </c>
      <c r="O400" s="7">
        <f t="shared" si="4"/>
        <v>0</v>
      </c>
      <c r="P400" s="7">
        <f t="shared" si="5"/>
        <v>0</v>
      </c>
      <c r="R400" s="15"/>
      <c r="S400" s="15"/>
      <c r="T400" s="9">
        <f t="shared" si="7"/>
        <v>0</v>
      </c>
      <c r="U400" s="10"/>
      <c r="V400" s="9"/>
      <c r="W400" s="10"/>
      <c r="X400" s="13"/>
      <c r="Y400" s="13"/>
    </row>
    <row r="401" ht="31.5" customHeight="1">
      <c r="D401" s="6" t="str">
        <f t="shared" si="1"/>
        <v/>
      </c>
      <c r="H401" s="7"/>
      <c r="K401" s="7">
        <f t="shared" si="2"/>
        <v>0</v>
      </c>
      <c r="N401" s="7">
        <f t="shared" si="3"/>
        <v>0</v>
      </c>
      <c r="O401" s="7">
        <f t="shared" si="4"/>
        <v>0</v>
      </c>
      <c r="P401" s="7">
        <f t="shared" si="5"/>
        <v>0</v>
      </c>
      <c r="R401" s="15"/>
      <c r="S401" s="15"/>
      <c r="T401" s="9">
        <f t="shared" si="7"/>
        <v>0</v>
      </c>
      <c r="U401" s="10"/>
      <c r="V401" s="9"/>
      <c r="W401" s="10"/>
      <c r="X401" s="13"/>
      <c r="Y401" s="13"/>
    </row>
    <row r="402" ht="31.5" customHeight="1">
      <c r="D402" s="6" t="str">
        <f t="shared" si="1"/>
        <v/>
      </c>
      <c r="H402" s="7"/>
      <c r="K402" s="7">
        <f t="shared" si="2"/>
        <v>0</v>
      </c>
      <c r="N402" s="7">
        <f t="shared" si="3"/>
        <v>0</v>
      </c>
      <c r="O402" s="7">
        <f t="shared" si="4"/>
        <v>0</v>
      </c>
      <c r="P402" s="7">
        <f t="shared" si="5"/>
        <v>0</v>
      </c>
      <c r="R402" s="15"/>
      <c r="S402" s="15"/>
      <c r="T402" s="9">
        <f t="shared" si="7"/>
        <v>0</v>
      </c>
      <c r="U402" s="10"/>
      <c r="V402" s="9"/>
      <c r="W402" s="10"/>
      <c r="X402" s="13"/>
      <c r="Y402" s="13"/>
    </row>
    <row r="403" ht="31.5" customHeight="1">
      <c r="D403" s="6" t="str">
        <f t="shared" si="1"/>
        <v/>
      </c>
      <c r="H403" s="7"/>
      <c r="K403" s="7">
        <f t="shared" si="2"/>
        <v>0</v>
      </c>
      <c r="N403" s="7">
        <f t="shared" si="3"/>
        <v>0</v>
      </c>
      <c r="O403" s="7">
        <f t="shared" si="4"/>
        <v>0</v>
      </c>
      <c r="P403" s="7">
        <f t="shared" si="5"/>
        <v>0</v>
      </c>
      <c r="R403" s="15"/>
      <c r="S403" s="15"/>
      <c r="T403" s="9">
        <f t="shared" si="7"/>
        <v>0</v>
      </c>
      <c r="U403" s="10"/>
      <c r="V403" s="9"/>
      <c r="W403" s="10"/>
      <c r="X403" s="13"/>
      <c r="Y403" s="13"/>
    </row>
    <row r="404" ht="31.5" customHeight="1">
      <c r="D404" s="6" t="str">
        <f t="shared" si="1"/>
        <v/>
      </c>
      <c r="H404" s="7"/>
      <c r="K404" s="7">
        <f t="shared" si="2"/>
        <v>0</v>
      </c>
      <c r="N404" s="7">
        <f t="shared" si="3"/>
        <v>0</v>
      </c>
      <c r="O404" s="7">
        <f t="shared" si="4"/>
        <v>0</v>
      </c>
      <c r="P404" s="7">
        <f t="shared" si="5"/>
        <v>0</v>
      </c>
      <c r="R404" s="15"/>
      <c r="S404" s="15"/>
      <c r="T404" s="9">
        <f t="shared" si="7"/>
        <v>0</v>
      </c>
      <c r="U404" s="10"/>
      <c r="V404" s="9"/>
      <c r="W404" s="10"/>
      <c r="X404" s="13"/>
      <c r="Y404" s="13"/>
    </row>
    <row r="405" ht="31.5" customHeight="1">
      <c r="D405" s="6" t="str">
        <f t="shared" si="1"/>
        <v/>
      </c>
      <c r="H405" s="7"/>
      <c r="K405" s="7">
        <f t="shared" si="2"/>
        <v>0</v>
      </c>
      <c r="N405" s="7">
        <f t="shared" si="3"/>
        <v>0</v>
      </c>
      <c r="O405" s="7">
        <f t="shared" si="4"/>
        <v>0</v>
      </c>
      <c r="P405" s="7">
        <f t="shared" si="5"/>
        <v>0</v>
      </c>
      <c r="R405" s="15"/>
      <c r="S405" s="15"/>
      <c r="T405" s="9">
        <f t="shared" si="7"/>
        <v>0</v>
      </c>
      <c r="U405" s="10"/>
      <c r="V405" s="9"/>
      <c r="W405" s="10"/>
      <c r="X405" s="13"/>
      <c r="Y405" s="13"/>
    </row>
    <row r="406" ht="31.5" customHeight="1">
      <c r="D406" s="6" t="str">
        <f t="shared" si="1"/>
        <v/>
      </c>
      <c r="H406" s="7"/>
      <c r="K406" s="7">
        <f t="shared" si="2"/>
        <v>0</v>
      </c>
      <c r="N406" s="7">
        <f t="shared" si="3"/>
        <v>0</v>
      </c>
      <c r="O406" s="7">
        <f t="shared" si="4"/>
        <v>0</v>
      </c>
      <c r="P406" s="7">
        <f t="shared" si="5"/>
        <v>0</v>
      </c>
      <c r="R406" s="15"/>
      <c r="S406" s="15"/>
      <c r="T406" s="9">
        <f t="shared" si="7"/>
        <v>0</v>
      </c>
      <c r="U406" s="10"/>
      <c r="V406" s="9"/>
      <c r="W406" s="10"/>
      <c r="X406" s="13"/>
      <c r="Y406" s="13"/>
    </row>
    <row r="407" ht="31.5" customHeight="1">
      <c r="D407" s="6" t="str">
        <f t="shared" si="1"/>
        <v/>
      </c>
      <c r="H407" s="7"/>
      <c r="K407" s="7">
        <f t="shared" si="2"/>
        <v>0</v>
      </c>
      <c r="N407" s="7">
        <f t="shared" si="3"/>
        <v>0</v>
      </c>
      <c r="O407" s="7">
        <f t="shared" si="4"/>
        <v>0</v>
      </c>
      <c r="P407" s="7">
        <f t="shared" si="5"/>
        <v>0</v>
      </c>
      <c r="R407" s="15"/>
      <c r="S407" s="15"/>
      <c r="T407" s="9">
        <f t="shared" si="7"/>
        <v>0</v>
      </c>
      <c r="U407" s="10"/>
      <c r="V407" s="9"/>
      <c r="W407" s="10"/>
      <c r="X407" s="13"/>
      <c r="Y407" s="13"/>
    </row>
    <row r="408" ht="31.5" customHeight="1">
      <c r="D408" s="6" t="str">
        <f t="shared" si="1"/>
        <v/>
      </c>
      <c r="H408" s="7"/>
      <c r="K408" s="7">
        <f t="shared" si="2"/>
        <v>0</v>
      </c>
      <c r="N408" s="7">
        <f t="shared" si="3"/>
        <v>0</v>
      </c>
      <c r="O408" s="7">
        <f t="shared" si="4"/>
        <v>0</v>
      </c>
      <c r="P408" s="7">
        <f t="shared" si="5"/>
        <v>0</v>
      </c>
      <c r="R408" s="15"/>
      <c r="S408" s="15"/>
      <c r="T408" s="9">
        <f t="shared" si="7"/>
        <v>0</v>
      </c>
      <c r="U408" s="10"/>
      <c r="V408" s="9"/>
      <c r="W408" s="10"/>
      <c r="X408" s="13"/>
      <c r="Y408" s="13"/>
    </row>
    <row r="409" ht="31.5" customHeight="1">
      <c r="D409" s="6" t="str">
        <f t="shared" si="1"/>
        <v/>
      </c>
      <c r="H409" s="7"/>
      <c r="K409" s="7">
        <f t="shared" si="2"/>
        <v>0</v>
      </c>
      <c r="N409" s="7">
        <f t="shared" si="3"/>
        <v>0</v>
      </c>
      <c r="O409" s="7">
        <f t="shared" si="4"/>
        <v>0</v>
      </c>
      <c r="P409" s="7">
        <f t="shared" si="5"/>
        <v>0</v>
      </c>
      <c r="R409" s="15"/>
      <c r="S409" s="15"/>
      <c r="T409" s="9">
        <f t="shared" si="7"/>
        <v>0</v>
      </c>
      <c r="U409" s="10"/>
      <c r="V409" s="9"/>
      <c r="W409" s="10"/>
      <c r="X409" s="13"/>
      <c r="Y409" s="13"/>
    </row>
    <row r="410" ht="31.5" customHeight="1">
      <c r="D410" s="6" t="str">
        <f t="shared" si="1"/>
        <v/>
      </c>
      <c r="H410" s="7"/>
      <c r="K410" s="7">
        <f t="shared" si="2"/>
        <v>0</v>
      </c>
      <c r="N410" s="7">
        <f t="shared" si="3"/>
        <v>0</v>
      </c>
      <c r="O410" s="7">
        <f t="shared" si="4"/>
        <v>0</v>
      </c>
      <c r="P410" s="7">
        <f t="shared" si="5"/>
        <v>0</v>
      </c>
      <c r="R410" s="15"/>
      <c r="S410" s="15"/>
      <c r="T410" s="9">
        <f t="shared" si="7"/>
        <v>0</v>
      </c>
      <c r="U410" s="10"/>
      <c r="V410" s="9"/>
      <c r="W410" s="10"/>
      <c r="X410" s="13"/>
      <c r="Y410" s="13"/>
    </row>
    <row r="411" ht="31.5" customHeight="1">
      <c r="D411" s="6" t="str">
        <f t="shared" si="1"/>
        <v/>
      </c>
      <c r="H411" s="7"/>
      <c r="K411" s="7">
        <f t="shared" si="2"/>
        <v>0</v>
      </c>
      <c r="N411" s="7">
        <f t="shared" si="3"/>
        <v>0</v>
      </c>
      <c r="O411" s="7">
        <f t="shared" si="4"/>
        <v>0</v>
      </c>
      <c r="P411" s="7">
        <f t="shared" si="5"/>
        <v>0</v>
      </c>
      <c r="R411" s="15"/>
      <c r="S411" s="15"/>
      <c r="T411" s="9">
        <f t="shared" si="7"/>
        <v>0</v>
      </c>
      <c r="U411" s="10"/>
      <c r="V411" s="9"/>
      <c r="W411" s="10"/>
      <c r="X411" s="13"/>
      <c r="Y411" s="13"/>
    </row>
    <row r="412" ht="31.5" customHeight="1">
      <c r="D412" s="6" t="str">
        <f t="shared" si="1"/>
        <v/>
      </c>
      <c r="H412" s="7"/>
      <c r="K412" s="7">
        <f t="shared" si="2"/>
        <v>0</v>
      </c>
      <c r="N412" s="7">
        <f t="shared" si="3"/>
        <v>0</v>
      </c>
      <c r="O412" s="7">
        <f t="shared" si="4"/>
        <v>0</v>
      </c>
      <c r="P412" s="7">
        <f t="shared" si="5"/>
        <v>0</v>
      </c>
      <c r="R412" s="15"/>
      <c r="S412" s="15"/>
      <c r="T412" s="9">
        <f t="shared" si="7"/>
        <v>0</v>
      </c>
      <c r="U412" s="10"/>
      <c r="V412" s="9"/>
      <c r="W412" s="10"/>
      <c r="X412" s="13"/>
      <c r="Y412" s="13"/>
    </row>
    <row r="413" ht="31.5" customHeight="1">
      <c r="D413" s="6" t="str">
        <f t="shared" si="1"/>
        <v/>
      </c>
      <c r="H413" s="7"/>
      <c r="K413" s="7">
        <f t="shared" si="2"/>
        <v>0</v>
      </c>
      <c r="N413" s="7">
        <f t="shared" si="3"/>
        <v>0</v>
      </c>
      <c r="O413" s="7">
        <f t="shared" si="4"/>
        <v>0</v>
      </c>
      <c r="P413" s="7">
        <f t="shared" si="5"/>
        <v>0</v>
      </c>
      <c r="R413" s="15"/>
      <c r="S413" s="15"/>
      <c r="T413" s="9">
        <f t="shared" si="7"/>
        <v>0</v>
      </c>
      <c r="U413" s="10"/>
      <c r="V413" s="9"/>
      <c r="W413" s="10"/>
      <c r="X413" s="13"/>
      <c r="Y413" s="13"/>
    </row>
    <row r="414" ht="31.5" customHeight="1">
      <c r="D414" s="6" t="str">
        <f t="shared" si="1"/>
        <v/>
      </c>
      <c r="H414" s="7"/>
      <c r="K414" s="7">
        <f t="shared" si="2"/>
        <v>0</v>
      </c>
      <c r="N414" s="7">
        <f t="shared" si="3"/>
        <v>0</v>
      </c>
      <c r="O414" s="7">
        <f t="shared" si="4"/>
        <v>0</v>
      </c>
      <c r="P414" s="7">
        <f t="shared" si="5"/>
        <v>0</v>
      </c>
      <c r="R414" s="15"/>
      <c r="S414" s="15"/>
      <c r="T414" s="9">
        <f t="shared" si="7"/>
        <v>0</v>
      </c>
      <c r="U414" s="10"/>
      <c r="V414" s="9"/>
      <c r="W414" s="10"/>
      <c r="X414" s="13"/>
      <c r="Y414" s="13"/>
    </row>
    <row r="415" ht="31.5" customHeight="1">
      <c r="D415" s="6" t="str">
        <f t="shared" si="1"/>
        <v/>
      </c>
      <c r="H415" s="7"/>
      <c r="K415" s="7">
        <f t="shared" si="2"/>
        <v>0</v>
      </c>
      <c r="N415" s="7">
        <f t="shared" si="3"/>
        <v>0</v>
      </c>
      <c r="O415" s="7">
        <f t="shared" si="4"/>
        <v>0</v>
      </c>
      <c r="P415" s="7">
        <f t="shared" si="5"/>
        <v>0</v>
      </c>
      <c r="R415" s="15"/>
      <c r="S415" s="15"/>
      <c r="T415" s="9">
        <f t="shared" si="7"/>
        <v>0</v>
      </c>
      <c r="U415" s="10"/>
      <c r="V415" s="9"/>
      <c r="W415" s="10"/>
      <c r="X415" s="13"/>
      <c r="Y415" s="13"/>
    </row>
    <row r="416" ht="31.5" customHeight="1">
      <c r="D416" s="6" t="str">
        <f t="shared" si="1"/>
        <v/>
      </c>
      <c r="H416" s="7"/>
      <c r="K416" s="7">
        <f t="shared" si="2"/>
        <v>0</v>
      </c>
      <c r="N416" s="7">
        <f t="shared" si="3"/>
        <v>0</v>
      </c>
      <c r="O416" s="7">
        <f t="shared" si="4"/>
        <v>0</v>
      </c>
      <c r="P416" s="7">
        <f t="shared" si="5"/>
        <v>0</v>
      </c>
      <c r="R416" s="15"/>
      <c r="S416" s="15"/>
      <c r="T416" s="9">
        <f t="shared" si="7"/>
        <v>0</v>
      </c>
      <c r="U416" s="10"/>
      <c r="V416" s="9"/>
      <c r="W416" s="10"/>
      <c r="X416" s="13"/>
      <c r="Y416" s="13"/>
    </row>
    <row r="417" ht="31.5" customHeight="1">
      <c r="D417" s="6" t="str">
        <f t="shared" si="1"/>
        <v/>
      </c>
      <c r="H417" s="7"/>
      <c r="K417" s="7">
        <f t="shared" si="2"/>
        <v>0</v>
      </c>
      <c r="N417" s="7">
        <f t="shared" si="3"/>
        <v>0</v>
      </c>
      <c r="O417" s="7">
        <f t="shared" si="4"/>
        <v>0</v>
      </c>
      <c r="P417" s="7">
        <f t="shared" si="5"/>
        <v>0</v>
      </c>
      <c r="R417" s="15"/>
      <c r="S417" s="15"/>
      <c r="T417" s="9">
        <f t="shared" si="7"/>
        <v>0</v>
      </c>
      <c r="U417" s="10"/>
      <c r="V417" s="9"/>
      <c r="W417" s="10"/>
      <c r="X417" s="13"/>
      <c r="Y417" s="13"/>
    </row>
    <row r="418" ht="31.5" customHeight="1">
      <c r="D418" s="6" t="str">
        <f t="shared" si="1"/>
        <v/>
      </c>
      <c r="H418" s="7"/>
      <c r="K418" s="7">
        <f t="shared" si="2"/>
        <v>0</v>
      </c>
      <c r="N418" s="7">
        <f t="shared" si="3"/>
        <v>0</v>
      </c>
      <c r="O418" s="7">
        <f t="shared" si="4"/>
        <v>0</v>
      </c>
      <c r="P418" s="7">
        <f t="shared" si="5"/>
        <v>0</v>
      </c>
      <c r="R418" s="15"/>
      <c r="S418" s="15"/>
      <c r="T418" s="9">
        <f t="shared" si="7"/>
        <v>0</v>
      </c>
      <c r="U418" s="10"/>
      <c r="V418" s="9"/>
      <c r="W418" s="10"/>
      <c r="X418" s="13"/>
      <c r="Y418" s="13"/>
    </row>
    <row r="419" ht="31.5" customHeight="1">
      <c r="D419" s="6" t="str">
        <f t="shared" si="1"/>
        <v/>
      </c>
      <c r="H419" s="7"/>
      <c r="K419" s="7">
        <f t="shared" si="2"/>
        <v>0</v>
      </c>
      <c r="N419" s="7">
        <f t="shared" si="3"/>
        <v>0</v>
      </c>
      <c r="O419" s="7">
        <f t="shared" si="4"/>
        <v>0</v>
      </c>
      <c r="P419" s="7">
        <f t="shared" si="5"/>
        <v>0</v>
      </c>
      <c r="R419" s="15"/>
      <c r="S419" s="15"/>
      <c r="T419" s="9">
        <f t="shared" si="7"/>
        <v>0</v>
      </c>
      <c r="U419" s="10"/>
      <c r="V419" s="9"/>
      <c r="W419" s="10"/>
      <c r="X419" s="13"/>
      <c r="Y419" s="13"/>
    </row>
    <row r="420" ht="31.5" customHeight="1">
      <c r="D420" s="6" t="str">
        <f t="shared" si="1"/>
        <v/>
      </c>
      <c r="H420" s="7"/>
      <c r="K420" s="7">
        <f t="shared" si="2"/>
        <v>0</v>
      </c>
      <c r="N420" s="7">
        <f t="shared" si="3"/>
        <v>0</v>
      </c>
      <c r="O420" s="7">
        <f t="shared" si="4"/>
        <v>0</v>
      </c>
      <c r="P420" s="7">
        <f t="shared" si="5"/>
        <v>0</v>
      </c>
      <c r="R420" s="15"/>
      <c r="S420" s="15"/>
      <c r="T420" s="9">
        <f t="shared" si="7"/>
        <v>0</v>
      </c>
      <c r="U420" s="10"/>
      <c r="V420" s="9"/>
      <c r="W420" s="10"/>
      <c r="X420" s="13"/>
      <c r="Y420" s="13"/>
    </row>
    <row r="421" ht="31.5" customHeight="1">
      <c r="D421" s="6" t="str">
        <f t="shared" si="1"/>
        <v/>
      </c>
      <c r="H421" s="7"/>
      <c r="K421" s="7">
        <f t="shared" si="2"/>
        <v>0</v>
      </c>
      <c r="N421" s="7">
        <f t="shared" si="3"/>
        <v>0</v>
      </c>
      <c r="O421" s="7">
        <f t="shared" si="4"/>
        <v>0</v>
      </c>
      <c r="P421" s="7">
        <f t="shared" si="5"/>
        <v>0</v>
      </c>
      <c r="R421" s="15"/>
      <c r="S421" s="15"/>
      <c r="T421" s="9">
        <f t="shared" si="7"/>
        <v>0</v>
      </c>
      <c r="U421" s="10"/>
      <c r="V421" s="9"/>
      <c r="W421" s="10"/>
      <c r="X421" s="13"/>
      <c r="Y421" s="13"/>
    </row>
    <row r="422" ht="31.5" customHeight="1">
      <c r="D422" s="6" t="str">
        <f t="shared" si="1"/>
        <v/>
      </c>
      <c r="H422" s="7"/>
      <c r="K422" s="7">
        <f t="shared" si="2"/>
        <v>0</v>
      </c>
      <c r="N422" s="7">
        <f t="shared" si="3"/>
        <v>0</v>
      </c>
      <c r="O422" s="7">
        <f t="shared" si="4"/>
        <v>0</v>
      </c>
      <c r="P422" s="7">
        <f t="shared" si="5"/>
        <v>0</v>
      </c>
      <c r="R422" s="15"/>
      <c r="S422" s="15"/>
      <c r="T422" s="9">
        <f t="shared" si="7"/>
        <v>0</v>
      </c>
      <c r="U422" s="10"/>
      <c r="V422" s="9"/>
      <c r="W422" s="10"/>
      <c r="X422" s="13"/>
      <c r="Y422" s="13"/>
    </row>
    <row r="423" ht="31.5" customHeight="1">
      <c r="D423" s="6" t="str">
        <f t="shared" si="1"/>
        <v/>
      </c>
      <c r="H423" s="7"/>
      <c r="K423" s="7">
        <f t="shared" si="2"/>
        <v>0</v>
      </c>
      <c r="N423" s="7">
        <f t="shared" si="3"/>
        <v>0</v>
      </c>
      <c r="O423" s="7">
        <f t="shared" si="4"/>
        <v>0</v>
      </c>
      <c r="P423" s="7">
        <f t="shared" si="5"/>
        <v>0</v>
      </c>
      <c r="R423" s="15"/>
      <c r="S423" s="15"/>
      <c r="T423" s="9">
        <f t="shared" si="7"/>
        <v>0</v>
      </c>
      <c r="U423" s="10"/>
      <c r="V423" s="9"/>
      <c r="W423" s="10"/>
      <c r="X423" s="13"/>
      <c r="Y423" s="13"/>
    </row>
    <row r="424" ht="31.5" customHeight="1">
      <c r="D424" s="6" t="str">
        <f t="shared" si="1"/>
        <v/>
      </c>
      <c r="H424" s="7"/>
      <c r="K424" s="7">
        <f t="shared" si="2"/>
        <v>0</v>
      </c>
      <c r="N424" s="7">
        <f t="shared" si="3"/>
        <v>0</v>
      </c>
      <c r="O424" s="7">
        <f t="shared" si="4"/>
        <v>0</v>
      </c>
      <c r="P424" s="7">
        <f t="shared" si="5"/>
        <v>0</v>
      </c>
      <c r="R424" s="15"/>
      <c r="S424" s="15"/>
      <c r="T424" s="9">
        <f t="shared" si="7"/>
        <v>0</v>
      </c>
      <c r="U424" s="10"/>
      <c r="V424" s="9"/>
      <c r="W424" s="10"/>
      <c r="X424" s="13"/>
      <c r="Y424" s="13"/>
    </row>
    <row r="425" ht="31.5" customHeight="1">
      <c r="D425" s="6" t="str">
        <f t="shared" si="1"/>
        <v/>
      </c>
      <c r="H425" s="7"/>
      <c r="K425" s="7">
        <f t="shared" si="2"/>
        <v>0</v>
      </c>
      <c r="N425" s="7">
        <f t="shared" si="3"/>
        <v>0</v>
      </c>
      <c r="O425" s="7">
        <f t="shared" si="4"/>
        <v>0</v>
      </c>
      <c r="P425" s="7">
        <f t="shared" si="5"/>
        <v>0</v>
      </c>
      <c r="R425" s="15"/>
      <c r="S425" s="15"/>
      <c r="T425" s="9">
        <f t="shared" si="7"/>
        <v>0</v>
      </c>
      <c r="U425" s="10"/>
      <c r="V425" s="9"/>
      <c r="W425" s="10"/>
      <c r="X425" s="13"/>
      <c r="Y425" s="13"/>
    </row>
    <row r="426" ht="31.5" customHeight="1">
      <c r="D426" s="6" t="str">
        <f t="shared" si="1"/>
        <v/>
      </c>
      <c r="H426" s="7"/>
      <c r="K426" s="7">
        <f t="shared" si="2"/>
        <v>0</v>
      </c>
      <c r="N426" s="7">
        <f t="shared" si="3"/>
        <v>0</v>
      </c>
      <c r="O426" s="7">
        <f t="shared" si="4"/>
        <v>0</v>
      </c>
      <c r="P426" s="7">
        <f t="shared" si="5"/>
        <v>0</v>
      </c>
      <c r="R426" s="15"/>
      <c r="S426" s="15"/>
      <c r="T426" s="9">
        <f t="shared" si="7"/>
        <v>0</v>
      </c>
      <c r="U426" s="10"/>
      <c r="V426" s="9"/>
      <c r="W426" s="10"/>
      <c r="X426" s="13"/>
      <c r="Y426" s="13"/>
    </row>
    <row r="427" ht="31.5" customHeight="1">
      <c r="D427" s="6" t="str">
        <f t="shared" si="1"/>
        <v/>
      </c>
      <c r="H427" s="7"/>
      <c r="K427" s="7">
        <f t="shared" si="2"/>
        <v>0</v>
      </c>
      <c r="N427" s="7">
        <f t="shared" si="3"/>
        <v>0</v>
      </c>
      <c r="O427" s="7">
        <f t="shared" si="4"/>
        <v>0</v>
      </c>
      <c r="P427" s="7">
        <f t="shared" si="5"/>
        <v>0</v>
      </c>
      <c r="R427" s="15"/>
      <c r="S427" s="15"/>
      <c r="T427" s="9">
        <f t="shared" si="7"/>
        <v>0</v>
      </c>
      <c r="U427" s="10"/>
      <c r="V427" s="9"/>
      <c r="W427" s="10"/>
      <c r="X427" s="13"/>
      <c r="Y427" s="13"/>
    </row>
    <row r="428" ht="31.5" customHeight="1">
      <c r="D428" s="6" t="str">
        <f t="shared" si="1"/>
        <v/>
      </c>
      <c r="H428" s="7"/>
      <c r="K428" s="7">
        <f t="shared" si="2"/>
        <v>0</v>
      </c>
      <c r="N428" s="7">
        <f t="shared" si="3"/>
        <v>0</v>
      </c>
      <c r="O428" s="7">
        <f t="shared" si="4"/>
        <v>0</v>
      </c>
      <c r="P428" s="7">
        <f t="shared" si="5"/>
        <v>0</v>
      </c>
      <c r="R428" s="15"/>
      <c r="S428" s="15"/>
      <c r="T428" s="9">
        <f t="shared" si="7"/>
        <v>0</v>
      </c>
      <c r="U428" s="10"/>
      <c r="V428" s="9"/>
      <c r="W428" s="10"/>
      <c r="X428" s="13"/>
      <c r="Y428" s="13"/>
    </row>
    <row r="429" ht="31.5" customHeight="1">
      <c r="D429" s="6" t="str">
        <f t="shared" si="1"/>
        <v/>
      </c>
      <c r="H429" s="7"/>
      <c r="K429" s="7">
        <f t="shared" si="2"/>
        <v>0</v>
      </c>
      <c r="N429" s="7">
        <f t="shared" si="3"/>
        <v>0</v>
      </c>
      <c r="O429" s="7">
        <f t="shared" si="4"/>
        <v>0</v>
      </c>
      <c r="P429" s="7">
        <f t="shared" si="5"/>
        <v>0</v>
      </c>
      <c r="R429" s="15"/>
      <c r="S429" s="15"/>
      <c r="T429" s="9">
        <f t="shared" si="7"/>
        <v>0</v>
      </c>
      <c r="U429" s="10"/>
      <c r="V429" s="9"/>
      <c r="W429" s="10"/>
      <c r="X429" s="13"/>
      <c r="Y429" s="13"/>
    </row>
    <row r="430" ht="31.5" customHeight="1">
      <c r="D430" s="6" t="str">
        <f t="shared" si="1"/>
        <v/>
      </c>
      <c r="H430" s="7"/>
      <c r="K430" s="7">
        <f t="shared" si="2"/>
        <v>0</v>
      </c>
      <c r="N430" s="7">
        <f t="shared" si="3"/>
        <v>0</v>
      </c>
      <c r="O430" s="7">
        <f t="shared" si="4"/>
        <v>0</v>
      </c>
      <c r="P430" s="7">
        <f t="shared" si="5"/>
        <v>0</v>
      </c>
      <c r="R430" s="15"/>
      <c r="S430" s="15"/>
      <c r="T430" s="9">
        <f t="shared" si="7"/>
        <v>0</v>
      </c>
      <c r="U430" s="10"/>
      <c r="V430" s="9"/>
      <c r="W430" s="10"/>
      <c r="X430" s="13"/>
      <c r="Y430" s="13"/>
    </row>
    <row r="431" ht="31.5" customHeight="1">
      <c r="D431" s="6" t="str">
        <f t="shared" si="1"/>
        <v/>
      </c>
      <c r="H431" s="7"/>
      <c r="K431" s="7">
        <f t="shared" si="2"/>
        <v>0</v>
      </c>
      <c r="N431" s="7">
        <f t="shared" si="3"/>
        <v>0</v>
      </c>
      <c r="O431" s="7">
        <f t="shared" si="4"/>
        <v>0</v>
      </c>
      <c r="P431" s="7">
        <f t="shared" si="5"/>
        <v>0</v>
      </c>
      <c r="R431" s="15"/>
      <c r="S431" s="15"/>
      <c r="T431" s="9">
        <f t="shared" si="7"/>
        <v>0</v>
      </c>
      <c r="U431" s="10"/>
      <c r="V431" s="9"/>
      <c r="W431" s="10"/>
      <c r="X431" s="13"/>
      <c r="Y431" s="13"/>
    </row>
    <row r="432" ht="31.5" customHeight="1">
      <c r="D432" s="6" t="str">
        <f t="shared" si="1"/>
        <v/>
      </c>
      <c r="H432" s="7"/>
      <c r="K432" s="7">
        <f t="shared" si="2"/>
        <v>0</v>
      </c>
      <c r="N432" s="7">
        <f t="shared" si="3"/>
        <v>0</v>
      </c>
      <c r="O432" s="7">
        <f t="shared" si="4"/>
        <v>0</v>
      </c>
      <c r="P432" s="7">
        <f t="shared" si="5"/>
        <v>0</v>
      </c>
      <c r="R432" s="15"/>
      <c r="S432" s="15"/>
      <c r="T432" s="9">
        <f t="shared" si="7"/>
        <v>0</v>
      </c>
      <c r="U432" s="10"/>
      <c r="V432" s="9"/>
      <c r="W432" s="10"/>
      <c r="X432" s="13"/>
      <c r="Y432" s="13"/>
    </row>
    <row r="433" ht="31.5" customHeight="1">
      <c r="D433" s="6" t="str">
        <f t="shared" si="1"/>
        <v/>
      </c>
      <c r="H433" s="7"/>
      <c r="K433" s="7">
        <f t="shared" si="2"/>
        <v>0</v>
      </c>
      <c r="N433" s="7">
        <f t="shared" si="3"/>
        <v>0</v>
      </c>
      <c r="O433" s="7">
        <f t="shared" si="4"/>
        <v>0</v>
      </c>
      <c r="P433" s="7">
        <f t="shared" si="5"/>
        <v>0</v>
      </c>
      <c r="R433" s="15"/>
      <c r="S433" s="15"/>
      <c r="T433" s="9">
        <f t="shared" si="7"/>
        <v>0</v>
      </c>
      <c r="U433" s="10"/>
      <c r="V433" s="9"/>
      <c r="W433" s="10"/>
      <c r="X433" s="13"/>
      <c r="Y433" s="13"/>
    </row>
    <row r="434" ht="31.5" customHeight="1">
      <c r="D434" s="6" t="str">
        <f t="shared" si="1"/>
        <v/>
      </c>
      <c r="H434" s="7"/>
      <c r="K434" s="7">
        <f t="shared" si="2"/>
        <v>0</v>
      </c>
      <c r="N434" s="7">
        <f t="shared" si="3"/>
        <v>0</v>
      </c>
      <c r="O434" s="7">
        <f t="shared" si="4"/>
        <v>0</v>
      </c>
      <c r="P434" s="7">
        <f t="shared" si="5"/>
        <v>0</v>
      </c>
      <c r="R434" s="15"/>
      <c r="S434" s="15"/>
      <c r="T434" s="9">
        <f t="shared" si="7"/>
        <v>0</v>
      </c>
      <c r="U434" s="10"/>
      <c r="V434" s="9"/>
      <c r="W434" s="10"/>
      <c r="X434" s="13"/>
      <c r="Y434" s="13"/>
    </row>
    <row r="435" ht="31.5" customHeight="1">
      <c r="D435" s="6" t="str">
        <f t="shared" si="1"/>
        <v/>
      </c>
      <c r="H435" s="7"/>
      <c r="K435" s="7">
        <f t="shared" si="2"/>
        <v>0</v>
      </c>
      <c r="N435" s="7">
        <f t="shared" si="3"/>
        <v>0</v>
      </c>
      <c r="O435" s="7">
        <f t="shared" si="4"/>
        <v>0</v>
      </c>
      <c r="P435" s="7">
        <f t="shared" si="5"/>
        <v>0</v>
      </c>
      <c r="R435" s="15"/>
      <c r="S435" s="15"/>
      <c r="T435" s="9">
        <f t="shared" si="7"/>
        <v>0</v>
      </c>
      <c r="U435" s="10"/>
      <c r="V435" s="9"/>
      <c r="W435" s="10"/>
      <c r="X435" s="13"/>
      <c r="Y435" s="13"/>
    </row>
    <row r="436" ht="31.5" customHeight="1">
      <c r="D436" s="6" t="str">
        <f t="shared" si="1"/>
        <v/>
      </c>
      <c r="H436" s="7"/>
      <c r="K436" s="7">
        <f t="shared" si="2"/>
        <v>0</v>
      </c>
      <c r="N436" s="7">
        <f t="shared" si="3"/>
        <v>0</v>
      </c>
      <c r="O436" s="7">
        <f t="shared" si="4"/>
        <v>0</v>
      </c>
      <c r="P436" s="7">
        <f t="shared" si="5"/>
        <v>0</v>
      </c>
      <c r="R436" s="15"/>
      <c r="S436" s="15"/>
      <c r="T436" s="9">
        <f t="shared" si="7"/>
        <v>0</v>
      </c>
      <c r="U436" s="10"/>
      <c r="V436" s="9"/>
      <c r="W436" s="10"/>
      <c r="X436" s="13"/>
      <c r="Y436" s="13"/>
    </row>
    <row r="437" ht="31.5" customHeight="1">
      <c r="D437" s="6" t="str">
        <f t="shared" si="1"/>
        <v/>
      </c>
      <c r="H437" s="7"/>
      <c r="K437" s="7">
        <f t="shared" si="2"/>
        <v>0</v>
      </c>
      <c r="N437" s="7">
        <f t="shared" si="3"/>
        <v>0</v>
      </c>
      <c r="O437" s="7">
        <f t="shared" si="4"/>
        <v>0</v>
      </c>
      <c r="P437" s="7">
        <f t="shared" si="5"/>
        <v>0</v>
      </c>
      <c r="R437" s="15"/>
      <c r="S437" s="15"/>
      <c r="T437" s="9">
        <f t="shared" si="7"/>
        <v>0</v>
      </c>
      <c r="U437" s="10"/>
      <c r="V437" s="9"/>
      <c r="W437" s="10"/>
      <c r="X437" s="13"/>
      <c r="Y437" s="13"/>
    </row>
    <row r="438" ht="31.5" customHeight="1">
      <c r="D438" s="6" t="str">
        <f t="shared" si="1"/>
        <v/>
      </c>
      <c r="H438" s="7"/>
      <c r="K438" s="7">
        <f t="shared" si="2"/>
        <v>0</v>
      </c>
      <c r="N438" s="7">
        <f t="shared" si="3"/>
        <v>0</v>
      </c>
      <c r="O438" s="7">
        <f t="shared" si="4"/>
        <v>0</v>
      </c>
      <c r="P438" s="7">
        <f t="shared" si="5"/>
        <v>0</v>
      </c>
      <c r="R438" s="15"/>
      <c r="S438" s="15"/>
      <c r="T438" s="9">
        <f t="shared" si="7"/>
        <v>0</v>
      </c>
      <c r="U438" s="10"/>
      <c r="V438" s="9"/>
      <c r="W438" s="10"/>
      <c r="X438" s="13"/>
      <c r="Y438" s="13"/>
    </row>
    <row r="439" ht="31.5" customHeight="1">
      <c r="D439" s="6" t="str">
        <f t="shared" si="1"/>
        <v/>
      </c>
      <c r="H439" s="7"/>
      <c r="K439" s="7">
        <f t="shared" si="2"/>
        <v>0</v>
      </c>
      <c r="N439" s="7">
        <f t="shared" si="3"/>
        <v>0</v>
      </c>
      <c r="O439" s="7">
        <f t="shared" si="4"/>
        <v>0</v>
      </c>
      <c r="P439" s="7">
        <f t="shared" si="5"/>
        <v>0</v>
      </c>
      <c r="R439" s="15"/>
      <c r="S439" s="15"/>
      <c r="T439" s="9">
        <f t="shared" si="7"/>
        <v>0</v>
      </c>
      <c r="U439" s="10"/>
      <c r="V439" s="9"/>
      <c r="W439" s="10"/>
      <c r="X439" s="13"/>
      <c r="Y439" s="13"/>
    </row>
    <row r="440" ht="31.5" customHeight="1">
      <c r="D440" s="6" t="str">
        <f t="shared" si="1"/>
        <v/>
      </c>
      <c r="H440" s="7"/>
      <c r="K440" s="7">
        <f t="shared" si="2"/>
        <v>0</v>
      </c>
      <c r="N440" s="7">
        <f t="shared" si="3"/>
        <v>0</v>
      </c>
      <c r="O440" s="7">
        <f t="shared" si="4"/>
        <v>0</v>
      </c>
      <c r="P440" s="7">
        <f t="shared" si="5"/>
        <v>0</v>
      </c>
      <c r="R440" s="15"/>
      <c r="S440" s="15"/>
      <c r="T440" s="9">
        <f t="shared" si="7"/>
        <v>0</v>
      </c>
      <c r="U440" s="10"/>
      <c r="V440" s="9"/>
      <c r="W440" s="10"/>
      <c r="X440" s="13"/>
      <c r="Y440" s="13"/>
    </row>
    <row r="441" ht="31.5" customHeight="1">
      <c r="D441" s="6" t="str">
        <f t="shared" si="1"/>
        <v/>
      </c>
      <c r="H441" s="7"/>
      <c r="K441" s="7">
        <f t="shared" si="2"/>
        <v>0</v>
      </c>
      <c r="N441" s="7">
        <f t="shared" si="3"/>
        <v>0</v>
      </c>
      <c r="O441" s="7">
        <f t="shared" si="4"/>
        <v>0</v>
      </c>
      <c r="P441" s="7">
        <f t="shared" si="5"/>
        <v>0</v>
      </c>
      <c r="R441" s="15"/>
      <c r="S441" s="15"/>
      <c r="T441" s="9">
        <f t="shared" si="7"/>
        <v>0</v>
      </c>
      <c r="U441" s="10"/>
      <c r="V441" s="9"/>
      <c r="W441" s="10"/>
      <c r="X441" s="13"/>
      <c r="Y441" s="13"/>
    </row>
    <row r="442" ht="31.5" customHeight="1">
      <c r="D442" s="6" t="str">
        <f t="shared" si="1"/>
        <v/>
      </c>
      <c r="H442" s="7"/>
      <c r="K442" s="7">
        <f t="shared" si="2"/>
        <v>0</v>
      </c>
      <c r="N442" s="7">
        <f t="shared" si="3"/>
        <v>0</v>
      </c>
      <c r="O442" s="7">
        <f t="shared" si="4"/>
        <v>0</v>
      </c>
      <c r="P442" s="7">
        <f t="shared" si="5"/>
        <v>0</v>
      </c>
      <c r="R442" s="15"/>
      <c r="S442" s="15"/>
      <c r="T442" s="9">
        <f t="shared" si="7"/>
        <v>0</v>
      </c>
      <c r="U442" s="10"/>
      <c r="V442" s="9"/>
      <c r="W442" s="10"/>
      <c r="X442" s="13"/>
      <c r="Y442" s="13"/>
    </row>
    <row r="443" ht="31.5" customHeight="1">
      <c r="D443" s="6" t="str">
        <f t="shared" si="1"/>
        <v/>
      </c>
      <c r="H443" s="7"/>
      <c r="K443" s="7">
        <f t="shared" si="2"/>
        <v>0</v>
      </c>
      <c r="N443" s="7">
        <f t="shared" si="3"/>
        <v>0</v>
      </c>
      <c r="O443" s="7">
        <f t="shared" si="4"/>
        <v>0</v>
      </c>
      <c r="P443" s="7">
        <f t="shared" si="5"/>
        <v>0</v>
      </c>
      <c r="R443" s="15"/>
      <c r="S443" s="15"/>
      <c r="T443" s="9">
        <f t="shared" si="7"/>
        <v>0</v>
      </c>
      <c r="U443" s="10"/>
      <c r="V443" s="9"/>
      <c r="W443" s="10"/>
      <c r="X443" s="13"/>
      <c r="Y443" s="13"/>
    </row>
    <row r="444" ht="31.5" customHeight="1">
      <c r="D444" s="6" t="str">
        <f t="shared" si="1"/>
        <v/>
      </c>
      <c r="H444" s="7"/>
      <c r="K444" s="7">
        <f t="shared" si="2"/>
        <v>0</v>
      </c>
      <c r="N444" s="7">
        <f t="shared" si="3"/>
        <v>0</v>
      </c>
      <c r="O444" s="7">
        <f t="shared" si="4"/>
        <v>0</v>
      </c>
      <c r="P444" s="7">
        <f t="shared" si="5"/>
        <v>0</v>
      </c>
      <c r="R444" s="15"/>
      <c r="S444" s="15"/>
      <c r="T444" s="9">
        <f t="shared" si="7"/>
        <v>0</v>
      </c>
      <c r="U444" s="10"/>
      <c r="V444" s="9"/>
      <c r="W444" s="10"/>
      <c r="X444" s="13"/>
      <c r="Y444" s="13"/>
    </row>
    <row r="445" ht="31.5" customHeight="1">
      <c r="D445" s="6" t="str">
        <f t="shared" si="1"/>
        <v/>
      </c>
      <c r="H445" s="7"/>
      <c r="K445" s="7">
        <f t="shared" si="2"/>
        <v>0</v>
      </c>
      <c r="N445" s="7">
        <f t="shared" si="3"/>
        <v>0</v>
      </c>
      <c r="O445" s="7">
        <f t="shared" si="4"/>
        <v>0</v>
      </c>
      <c r="P445" s="7">
        <f t="shared" si="5"/>
        <v>0</v>
      </c>
      <c r="R445" s="15"/>
      <c r="S445" s="15"/>
      <c r="T445" s="9">
        <f t="shared" si="7"/>
        <v>0</v>
      </c>
      <c r="U445" s="10"/>
      <c r="V445" s="9"/>
      <c r="W445" s="10"/>
      <c r="X445" s="13"/>
      <c r="Y445" s="13"/>
    </row>
    <row r="446" ht="31.5" customHeight="1">
      <c r="D446" s="6" t="str">
        <f t="shared" si="1"/>
        <v/>
      </c>
      <c r="H446" s="7"/>
      <c r="K446" s="7">
        <f t="shared" si="2"/>
        <v>0</v>
      </c>
      <c r="N446" s="7">
        <f t="shared" si="3"/>
        <v>0</v>
      </c>
      <c r="O446" s="7">
        <f t="shared" si="4"/>
        <v>0</v>
      </c>
      <c r="P446" s="7">
        <f t="shared" si="5"/>
        <v>0</v>
      </c>
      <c r="R446" s="15"/>
      <c r="S446" s="15"/>
      <c r="T446" s="9">
        <f t="shared" si="7"/>
        <v>0</v>
      </c>
      <c r="U446" s="10"/>
      <c r="V446" s="9"/>
      <c r="W446" s="10"/>
      <c r="X446" s="13"/>
      <c r="Y446" s="13"/>
    </row>
    <row r="447" ht="31.5" customHeight="1">
      <c r="D447" s="6" t="str">
        <f t="shared" si="1"/>
        <v/>
      </c>
      <c r="H447" s="7"/>
      <c r="K447" s="7">
        <f t="shared" si="2"/>
        <v>0</v>
      </c>
      <c r="N447" s="7">
        <f t="shared" si="3"/>
        <v>0</v>
      </c>
      <c r="O447" s="7">
        <f t="shared" si="4"/>
        <v>0</v>
      </c>
      <c r="P447" s="7">
        <f t="shared" si="5"/>
        <v>0</v>
      </c>
      <c r="R447" s="15"/>
      <c r="S447" s="15"/>
      <c r="T447" s="9">
        <f t="shared" si="7"/>
        <v>0</v>
      </c>
      <c r="U447" s="10"/>
      <c r="V447" s="9"/>
      <c r="W447" s="10"/>
      <c r="X447" s="13"/>
      <c r="Y447" s="13"/>
    </row>
    <row r="448" ht="31.5" customHeight="1">
      <c r="D448" s="6" t="str">
        <f t="shared" si="1"/>
        <v/>
      </c>
      <c r="H448" s="7"/>
      <c r="K448" s="7">
        <f t="shared" si="2"/>
        <v>0</v>
      </c>
      <c r="N448" s="7">
        <f t="shared" si="3"/>
        <v>0</v>
      </c>
      <c r="O448" s="7">
        <f t="shared" si="4"/>
        <v>0</v>
      </c>
      <c r="P448" s="7">
        <f t="shared" si="5"/>
        <v>0</v>
      </c>
      <c r="R448" s="15"/>
      <c r="S448" s="15"/>
      <c r="T448" s="9">
        <f t="shared" si="7"/>
        <v>0</v>
      </c>
      <c r="U448" s="10"/>
      <c r="V448" s="9"/>
      <c r="W448" s="10"/>
      <c r="X448" s="13"/>
      <c r="Y448" s="13"/>
    </row>
    <row r="449" ht="31.5" customHeight="1">
      <c r="D449" s="6" t="str">
        <f t="shared" si="1"/>
        <v/>
      </c>
      <c r="H449" s="7"/>
      <c r="K449" s="7">
        <f t="shared" si="2"/>
        <v>0</v>
      </c>
      <c r="N449" s="7">
        <f t="shared" si="3"/>
        <v>0</v>
      </c>
      <c r="O449" s="7">
        <f t="shared" si="4"/>
        <v>0</v>
      </c>
      <c r="P449" s="7">
        <f t="shared" si="5"/>
        <v>0</v>
      </c>
      <c r="R449" s="15"/>
      <c r="S449" s="15"/>
      <c r="T449" s="9">
        <f t="shared" si="7"/>
        <v>0</v>
      </c>
      <c r="U449" s="10"/>
      <c r="V449" s="9"/>
      <c r="W449" s="10"/>
      <c r="X449" s="13"/>
      <c r="Y449" s="13"/>
    </row>
    <row r="450" ht="31.5" customHeight="1">
      <c r="D450" s="6" t="str">
        <f t="shared" si="1"/>
        <v/>
      </c>
      <c r="H450" s="7"/>
      <c r="K450" s="7">
        <f t="shared" si="2"/>
        <v>0</v>
      </c>
      <c r="N450" s="7">
        <f t="shared" si="3"/>
        <v>0</v>
      </c>
      <c r="O450" s="7">
        <f t="shared" si="4"/>
        <v>0</v>
      </c>
      <c r="P450" s="7">
        <f t="shared" si="5"/>
        <v>0</v>
      </c>
      <c r="R450" s="15"/>
      <c r="S450" s="15"/>
      <c r="T450" s="9">
        <f t="shared" si="7"/>
        <v>0</v>
      </c>
      <c r="U450" s="10"/>
      <c r="V450" s="9"/>
      <c r="W450" s="10"/>
      <c r="X450" s="13"/>
      <c r="Y450" s="13"/>
    </row>
    <row r="451" ht="31.5" customHeight="1">
      <c r="D451" s="6" t="str">
        <f t="shared" si="1"/>
        <v/>
      </c>
      <c r="H451" s="7"/>
      <c r="K451" s="7">
        <f t="shared" si="2"/>
        <v>0</v>
      </c>
      <c r="N451" s="7">
        <f t="shared" si="3"/>
        <v>0</v>
      </c>
      <c r="O451" s="7">
        <f t="shared" si="4"/>
        <v>0</v>
      </c>
      <c r="P451" s="7">
        <f t="shared" si="5"/>
        <v>0</v>
      </c>
      <c r="R451" s="15"/>
      <c r="S451" s="15"/>
      <c r="T451" s="9">
        <f t="shared" si="7"/>
        <v>0</v>
      </c>
      <c r="U451" s="10"/>
      <c r="V451" s="9"/>
      <c r="W451" s="10"/>
      <c r="X451" s="13"/>
      <c r="Y451" s="13"/>
    </row>
    <row r="452" ht="31.5" customHeight="1">
      <c r="D452" s="6" t="str">
        <f t="shared" si="1"/>
        <v/>
      </c>
      <c r="H452" s="7"/>
      <c r="K452" s="7">
        <f t="shared" si="2"/>
        <v>0</v>
      </c>
      <c r="N452" s="7">
        <f t="shared" si="3"/>
        <v>0</v>
      </c>
      <c r="O452" s="7">
        <f t="shared" si="4"/>
        <v>0</v>
      </c>
      <c r="P452" s="7">
        <f t="shared" si="5"/>
        <v>0</v>
      </c>
      <c r="R452" s="15"/>
      <c r="S452" s="15"/>
      <c r="T452" s="9">
        <f t="shared" si="7"/>
        <v>0</v>
      </c>
      <c r="U452" s="10"/>
      <c r="V452" s="9"/>
      <c r="W452" s="10"/>
      <c r="X452" s="13"/>
      <c r="Y452" s="13"/>
    </row>
    <row r="453" ht="31.5" customHeight="1">
      <c r="D453" s="6" t="str">
        <f t="shared" si="1"/>
        <v/>
      </c>
      <c r="H453" s="7"/>
      <c r="K453" s="7">
        <f t="shared" si="2"/>
        <v>0</v>
      </c>
      <c r="N453" s="7">
        <f t="shared" si="3"/>
        <v>0</v>
      </c>
      <c r="O453" s="7">
        <f t="shared" si="4"/>
        <v>0</v>
      </c>
      <c r="P453" s="7">
        <f t="shared" si="5"/>
        <v>0</v>
      </c>
      <c r="R453" s="15"/>
      <c r="S453" s="15"/>
      <c r="T453" s="9">
        <f t="shared" si="7"/>
        <v>0</v>
      </c>
      <c r="U453" s="10"/>
      <c r="V453" s="9"/>
      <c r="W453" s="10"/>
      <c r="X453" s="13"/>
      <c r="Y453" s="13"/>
    </row>
    <row r="454" ht="31.5" customHeight="1">
      <c r="D454" s="6" t="str">
        <f t="shared" si="1"/>
        <v/>
      </c>
      <c r="H454" s="7"/>
      <c r="K454" s="7">
        <f t="shared" si="2"/>
        <v>0</v>
      </c>
      <c r="N454" s="7">
        <f t="shared" si="3"/>
        <v>0</v>
      </c>
      <c r="O454" s="7">
        <f t="shared" si="4"/>
        <v>0</v>
      </c>
      <c r="P454" s="7">
        <f t="shared" si="5"/>
        <v>0</v>
      </c>
      <c r="R454" s="15"/>
      <c r="S454" s="15"/>
      <c r="T454" s="9">
        <f t="shared" si="7"/>
        <v>0</v>
      </c>
      <c r="U454" s="10"/>
      <c r="V454" s="9"/>
      <c r="W454" s="10"/>
      <c r="X454" s="13"/>
      <c r="Y454" s="13"/>
    </row>
    <row r="455" ht="31.5" customHeight="1">
      <c r="D455" s="6" t="str">
        <f t="shared" si="1"/>
        <v/>
      </c>
      <c r="H455" s="7"/>
      <c r="K455" s="7">
        <f t="shared" si="2"/>
        <v>0</v>
      </c>
      <c r="N455" s="7">
        <f t="shared" si="3"/>
        <v>0</v>
      </c>
      <c r="O455" s="7">
        <f t="shared" si="4"/>
        <v>0</v>
      </c>
      <c r="P455" s="7">
        <f t="shared" si="5"/>
        <v>0</v>
      </c>
      <c r="R455" s="15"/>
      <c r="S455" s="15"/>
      <c r="T455" s="9">
        <f t="shared" si="7"/>
        <v>0</v>
      </c>
      <c r="U455" s="10"/>
      <c r="V455" s="9"/>
      <c r="W455" s="10"/>
      <c r="X455" s="13"/>
      <c r="Y455" s="13"/>
    </row>
    <row r="456" ht="31.5" customHeight="1">
      <c r="D456" s="6" t="str">
        <f t="shared" si="1"/>
        <v/>
      </c>
      <c r="H456" s="7"/>
      <c r="K456" s="7">
        <f t="shared" si="2"/>
        <v>0</v>
      </c>
      <c r="N456" s="7">
        <f t="shared" si="3"/>
        <v>0</v>
      </c>
      <c r="O456" s="7">
        <f t="shared" si="4"/>
        <v>0</v>
      </c>
      <c r="P456" s="7">
        <f t="shared" si="5"/>
        <v>0</v>
      </c>
      <c r="R456" s="15"/>
      <c r="S456" s="15"/>
      <c r="T456" s="9">
        <f t="shared" si="7"/>
        <v>0</v>
      </c>
      <c r="U456" s="10"/>
      <c r="V456" s="9"/>
      <c r="W456" s="10"/>
      <c r="X456" s="13"/>
      <c r="Y456" s="13"/>
    </row>
    <row r="457" ht="31.5" customHeight="1">
      <c r="D457" s="6" t="str">
        <f t="shared" si="1"/>
        <v/>
      </c>
      <c r="H457" s="7"/>
      <c r="K457" s="7">
        <f t="shared" si="2"/>
        <v>0</v>
      </c>
      <c r="N457" s="7">
        <f t="shared" si="3"/>
        <v>0</v>
      </c>
      <c r="O457" s="7">
        <f t="shared" si="4"/>
        <v>0</v>
      </c>
      <c r="P457" s="7">
        <f t="shared" si="5"/>
        <v>0</v>
      </c>
      <c r="R457" s="15"/>
      <c r="S457" s="15"/>
      <c r="T457" s="9">
        <f t="shared" si="7"/>
        <v>0</v>
      </c>
      <c r="U457" s="10"/>
      <c r="V457" s="9"/>
      <c r="W457" s="10"/>
      <c r="X457" s="13"/>
      <c r="Y457" s="13"/>
    </row>
    <row r="458" ht="31.5" customHeight="1">
      <c r="D458" s="6" t="str">
        <f t="shared" si="1"/>
        <v/>
      </c>
      <c r="H458" s="7"/>
      <c r="K458" s="7">
        <f t="shared" si="2"/>
        <v>0</v>
      </c>
      <c r="N458" s="7">
        <f t="shared" si="3"/>
        <v>0</v>
      </c>
      <c r="O458" s="7">
        <f t="shared" si="4"/>
        <v>0</v>
      </c>
      <c r="P458" s="7">
        <f t="shared" si="5"/>
        <v>0</v>
      </c>
      <c r="R458" s="15"/>
      <c r="S458" s="15"/>
      <c r="T458" s="9">
        <f t="shared" si="7"/>
        <v>0</v>
      </c>
      <c r="U458" s="10"/>
      <c r="V458" s="9"/>
      <c r="W458" s="10"/>
      <c r="X458" s="13"/>
      <c r="Y458" s="13"/>
    </row>
    <row r="459" ht="31.5" customHeight="1">
      <c r="D459" s="6" t="str">
        <f t="shared" si="1"/>
        <v/>
      </c>
      <c r="H459" s="7"/>
      <c r="K459" s="7">
        <f t="shared" si="2"/>
        <v>0</v>
      </c>
      <c r="N459" s="7">
        <f t="shared" si="3"/>
        <v>0</v>
      </c>
      <c r="O459" s="7">
        <f t="shared" si="4"/>
        <v>0</v>
      </c>
      <c r="P459" s="7">
        <f t="shared" si="5"/>
        <v>0</v>
      </c>
      <c r="R459" s="15"/>
      <c r="S459" s="15"/>
      <c r="T459" s="9">
        <f t="shared" si="7"/>
        <v>0</v>
      </c>
      <c r="U459" s="10"/>
      <c r="V459" s="9"/>
      <c r="W459" s="10"/>
      <c r="X459" s="13"/>
      <c r="Y459" s="13"/>
    </row>
    <row r="460" ht="31.5" customHeight="1">
      <c r="D460" s="6" t="str">
        <f t="shared" si="1"/>
        <v/>
      </c>
      <c r="H460" s="7"/>
      <c r="K460" s="7">
        <f t="shared" si="2"/>
        <v>0</v>
      </c>
      <c r="N460" s="7">
        <f t="shared" si="3"/>
        <v>0</v>
      </c>
      <c r="O460" s="7">
        <f t="shared" si="4"/>
        <v>0</v>
      </c>
      <c r="P460" s="7">
        <f t="shared" si="5"/>
        <v>0</v>
      </c>
      <c r="R460" s="15"/>
      <c r="S460" s="15"/>
      <c r="T460" s="9">
        <f t="shared" si="7"/>
        <v>0</v>
      </c>
      <c r="U460" s="10"/>
      <c r="V460" s="9"/>
      <c r="W460" s="10"/>
      <c r="X460" s="13"/>
      <c r="Y460" s="13"/>
    </row>
    <row r="461" ht="31.5" customHeight="1">
      <c r="D461" s="6" t="str">
        <f t="shared" si="1"/>
        <v/>
      </c>
      <c r="H461" s="7"/>
      <c r="K461" s="7">
        <f t="shared" si="2"/>
        <v>0</v>
      </c>
      <c r="N461" s="7">
        <f t="shared" si="3"/>
        <v>0</v>
      </c>
      <c r="O461" s="7">
        <f t="shared" si="4"/>
        <v>0</v>
      </c>
      <c r="P461" s="7">
        <f t="shared" si="5"/>
        <v>0</v>
      </c>
      <c r="R461" s="15"/>
      <c r="S461" s="15"/>
      <c r="T461" s="9">
        <f t="shared" si="7"/>
        <v>0</v>
      </c>
      <c r="U461" s="10"/>
      <c r="V461" s="9"/>
      <c r="W461" s="10"/>
      <c r="X461" s="13"/>
      <c r="Y461" s="13"/>
    </row>
    <row r="462" ht="31.5" customHeight="1">
      <c r="D462" s="6" t="str">
        <f t="shared" si="1"/>
        <v/>
      </c>
      <c r="H462" s="7"/>
      <c r="K462" s="7">
        <f t="shared" si="2"/>
        <v>0</v>
      </c>
      <c r="N462" s="7">
        <f t="shared" si="3"/>
        <v>0</v>
      </c>
      <c r="O462" s="7">
        <f t="shared" si="4"/>
        <v>0</v>
      </c>
      <c r="P462" s="7">
        <f t="shared" si="5"/>
        <v>0</v>
      </c>
      <c r="R462" s="15"/>
      <c r="S462" s="15"/>
      <c r="T462" s="9">
        <f t="shared" si="7"/>
        <v>0</v>
      </c>
      <c r="U462" s="10"/>
      <c r="V462" s="9"/>
      <c r="W462" s="10"/>
      <c r="X462" s="13"/>
      <c r="Y462" s="13"/>
    </row>
    <row r="463" ht="31.5" customHeight="1">
      <c r="D463" s="6" t="str">
        <f t="shared" si="1"/>
        <v/>
      </c>
      <c r="H463" s="7"/>
      <c r="K463" s="7">
        <f t="shared" si="2"/>
        <v>0</v>
      </c>
      <c r="N463" s="7">
        <f t="shared" si="3"/>
        <v>0</v>
      </c>
      <c r="O463" s="7">
        <f t="shared" si="4"/>
        <v>0</v>
      </c>
      <c r="P463" s="7">
        <f t="shared" si="5"/>
        <v>0</v>
      </c>
      <c r="R463" s="15"/>
      <c r="S463" s="15"/>
      <c r="T463" s="9">
        <f t="shared" si="7"/>
        <v>0</v>
      </c>
      <c r="U463" s="10"/>
      <c r="V463" s="9"/>
      <c r="W463" s="10"/>
      <c r="X463" s="13"/>
      <c r="Y463" s="13"/>
    </row>
    <row r="464" ht="31.5" customHeight="1">
      <c r="D464" s="6" t="str">
        <f t="shared" si="1"/>
        <v/>
      </c>
      <c r="H464" s="7"/>
      <c r="K464" s="7">
        <f t="shared" si="2"/>
        <v>0</v>
      </c>
      <c r="N464" s="7">
        <f t="shared" si="3"/>
        <v>0</v>
      </c>
      <c r="O464" s="7">
        <f t="shared" si="4"/>
        <v>0</v>
      </c>
      <c r="P464" s="7">
        <f t="shared" si="5"/>
        <v>0</v>
      </c>
      <c r="R464" s="15"/>
      <c r="S464" s="15"/>
      <c r="T464" s="9">
        <f t="shared" si="7"/>
        <v>0</v>
      </c>
      <c r="U464" s="10"/>
      <c r="V464" s="9"/>
      <c r="W464" s="10"/>
      <c r="X464" s="13"/>
      <c r="Y464" s="13"/>
    </row>
    <row r="465" ht="31.5" customHeight="1">
      <c r="D465" s="6" t="str">
        <f t="shared" si="1"/>
        <v/>
      </c>
      <c r="H465" s="7"/>
      <c r="K465" s="7">
        <f t="shared" si="2"/>
        <v>0</v>
      </c>
      <c r="N465" s="7">
        <f t="shared" si="3"/>
        <v>0</v>
      </c>
      <c r="O465" s="7">
        <f t="shared" si="4"/>
        <v>0</v>
      </c>
      <c r="P465" s="7">
        <f t="shared" si="5"/>
        <v>0</v>
      </c>
      <c r="R465" s="15"/>
      <c r="S465" s="15"/>
      <c r="T465" s="9">
        <f t="shared" si="7"/>
        <v>0</v>
      </c>
      <c r="U465" s="10"/>
      <c r="V465" s="9"/>
      <c r="W465" s="10"/>
      <c r="X465" s="13"/>
      <c r="Y465" s="13"/>
    </row>
    <row r="466" ht="31.5" customHeight="1">
      <c r="D466" s="6" t="str">
        <f t="shared" si="1"/>
        <v/>
      </c>
      <c r="H466" s="7"/>
      <c r="K466" s="7">
        <f t="shared" si="2"/>
        <v>0</v>
      </c>
      <c r="N466" s="7">
        <f t="shared" si="3"/>
        <v>0</v>
      </c>
      <c r="O466" s="7">
        <f t="shared" si="4"/>
        <v>0</v>
      </c>
      <c r="P466" s="7">
        <f t="shared" si="5"/>
        <v>0</v>
      </c>
      <c r="R466" s="15"/>
      <c r="S466" s="15"/>
      <c r="T466" s="9">
        <f t="shared" si="7"/>
        <v>0</v>
      </c>
      <c r="U466" s="10"/>
      <c r="V466" s="9"/>
      <c r="W466" s="10"/>
      <c r="X466" s="13"/>
      <c r="Y466" s="13"/>
    </row>
    <row r="467" ht="31.5" customHeight="1">
      <c r="D467" s="6" t="str">
        <f t="shared" si="1"/>
        <v/>
      </c>
      <c r="H467" s="7"/>
      <c r="K467" s="7">
        <f t="shared" si="2"/>
        <v>0</v>
      </c>
      <c r="N467" s="7">
        <f t="shared" si="3"/>
        <v>0</v>
      </c>
      <c r="O467" s="7">
        <f t="shared" si="4"/>
        <v>0</v>
      </c>
      <c r="P467" s="7">
        <f t="shared" si="5"/>
        <v>0</v>
      </c>
      <c r="R467" s="15"/>
      <c r="S467" s="15"/>
      <c r="T467" s="9">
        <f t="shared" si="7"/>
        <v>0</v>
      </c>
      <c r="U467" s="10"/>
      <c r="V467" s="9"/>
      <c r="W467" s="10"/>
      <c r="X467" s="13"/>
      <c r="Y467" s="13"/>
    </row>
    <row r="468" ht="31.5" customHeight="1">
      <c r="D468" s="6" t="str">
        <f t="shared" si="1"/>
        <v/>
      </c>
      <c r="H468" s="7"/>
      <c r="K468" s="7">
        <f t="shared" si="2"/>
        <v>0</v>
      </c>
      <c r="N468" s="7">
        <f t="shared" si="3"/>
        <v>0</v>
      </c>
      <c r="O468" s="7">
        <f t="shared" si="4"/>
        <v>0</v>
      </c>
      <c r="P468" s="7">
        <f t="shared" si="5"/>
        <v>0</v>
      </c>
      <c r="R468" s="15"/>
      <c r="S468" s="15"/>
      <c r="T468" s="9">
        <f t="shared" si="7"/>
        <v>0</v>
      </c>
      <c r="U468" s="10"/>
      <c r="V468" s="9"/>
      <c r="W468" s="10"/>
      <c r="X468" s="13"/>
      <c r="Y468" s="13"/>
    </row>
    <row r="469" ht="31.5" customHeight="1">
      <c r="D469" s="6" t="str">
        <f t="shared" si="1"/>
        <v/>
      </c>
      <c r="H469" s="7"/>
      <c r="K469" s="7">
        <f t="shared" si="2"/>
        <v>0</v>
      </c>
      <c r="N469" s="7">
        <f t="shared" si="3"/>
        <v>0</v>
      </c>
      <c r="O469" s="7">
        <f t="shared" si="4"/>
        <v>0</v>
      </c>
      <c r="P469" s="7">
        <f t="shared" si="5"/>
        <v>0</v>
      </c>
      <c r="R469" s="15"/>
      <c r="S469" s="15"/>
      <c r="T469" s="9">
        <f t="shared" si="7"/>
        <v>0</v>
      </c>
      <c r="U469" s="10"/>
      <c r="V469" s="9"/>
      <c r="W469" s="10"/>
      <c r="X469" s="13"/>
      <c r="Y469" s="13"/>
    </row>
    <row r="470" ht="31.5" customHeight="1">
      <c r="D470" s="6" t="str">
        <f t="shared" si="1"/>
        <v/>
      </c>
      <c r="H470" s="7"/>
      <c r="K470" s="7">
        <f t="shared" si="2"/>
        <v>0</v>
      </c>
      <c r="N470" s="7">
        <f t="shared" si="3"/>
        <v>0</v>
      </c>
      <c r="O470" s="7">
        <f t="shared" si="4"/>
        <v>0</v>
      </c>
      <c r="P470" s="7">
        <f t="shared" si="5"/>
        <v>0</v>
      </c>
      <c r="R470" s="15"/>
      <c r="S470" s="15"/>
      <c r="T470" s="9">
        <f t="shared" si="7"/>
        <v>0</v>
      </c>
      <c r="U470" s="10"/>
      <c r="V470" s="9"/>
      <c r="W470" s="10"/>
      <c r="X470" s="13"/>
      <c r="Y470" s="13"/>
    </row>
    <row r="471" ht="31.5" customHeight="1">
      <c r="D471" s="6" t="str">
        <f t="shared" si="1"/>
        <v/>
      </c>
      <c r="H471" s="7"/>
      <c r="K471" s="7">
        <f t="shared" si="2"/>
        <v>0</v>
      </c>
      <c r="N471" s="7">
        <f t="shared" si="3"/>
        <v>0</v>
      </c>
      <c r="O471" s="7">
        <f t="shared" si="4"/>
        <v>0</v>
      </c>
      <c r="P471" s="7">
        <f t="shared" si="5"/>
        <v>0</v>
      </c>
      <c r="R471" s="15"/>
      <c r="S471" s="15"/>
      <c r="T471" s="9">
        <f t="shared" si="7"/>
        <v>0</v>
      </c>
      <c r="U471" s="10"/>
      <c r="V471" s="9"/>
      <c r="W471" s="10"/>
      <c r="X471" s="13"/>
      <c r="Y471" s="13"/>
    </row>
    <row r="472" ht="31.5" customHeight="1">
      <c r="D472" s="6" t="str">
        <f t="shared" si="1"/>
        <v/>
      </c>
      <c r="H472" s="7"/>
      <c r="K472" s="7">
        <f t="shared" si="2"/>
        <v>0</v>
      </c>
      <c r="N472" s="7">
        <f t="shared" si="3"/>
        <v>0</v>
      </c>
      <c r="O472" s="7">
        <f t="shared" si="4"/>
        <v>0</v>
      </c>
      <c r="P472" s="7">
        <f t="shared" si="5"/>
        <v>0</v>
      </c>
      <c r="R472" s="15"/>
      <c r="S472" s="15"/>
      <c r="T472" s="9">
        <f t="shared" si="7"/>
        <v>0</v>
      </c>
      <c r="U472" s="10"/>
      <c r="V472" s="9"/>
      <c r="W472" s="10"/>
      <c r="X472" s="13"/>
      <c r="Y472" s="13"/>
    </row>
    <row r="473" ht="31.5" customHeight="1">
      <c r="D473" s="6" t="str">
        <f t="shared" si="1"/>
        <v/>
      </c>
      <c r="H473" s="7"/>
      <c r="K473" s="7">
        <f t="shared" si="2"/>
        <v>0</v>
      </c>
      <c r="N473" s="7">
        <f t="shared" si="3"/>
        <v>0</v>
      </c>
      <c r="O473" s="7">
        <f t="shared" si="4"/>
        <v>0</v>
      </c>
      <c r="P473" s="7">
        <f t="shared" si="5"/>
        <v>0</v>
      </c>
      <c r="R473" s="15"/>
      <c r="S473" s="15"/>
      <c r="T473" s="9">
        <f t="shared" si="7"/>
        <v>0</v>
      </c>
      <c r="U473" s="10"/>
      <c r="V473" s="9"/>
      <c r="W473" s="10"/>
      <c r="X473" s="13"/>
      <c r="Y473" s="13"/>
    </row>
    <row r="474" ht="31.5" customHeight="1">
      <c r="D474" s="6" t="str">
        <f t="shared" si="1"/>
        <v/>
      </c>
      <c r="H474" s="7"/>
      <c r="K474" s="7">
        <f t="shared" si="2"/>
        <v>0</v>
      </c>
      <c r="N474" s="7">
        <f t="shared" si="3"/>
        <v>0</v>
      </c>
      <c r="O474" s="7">
        <f t="shared" si="4"/>
        <v>0</v>
      </c>
      <c r="P474" s="7">
        <f t="shared" si="5"/>
        <v>0</v>
      </c>
      <c r="R474" s="15"/>
      <c r="S474" s="15"/>
      <c r="T474" s="9">
        <f t="shared" si="7"/>
        <v>0</v>
      </c>
      <c r="U474" s="10"/>
      <c r="V474" s="9"/>
      <c r="W474" s="10"/>
      <c r="X474" s="13"/>
      <c r="Y474" s="13"/>
    </row>
    <row r="475" ht="31.5" customHeight="1">
      <c r="D475" s="6" t="str">
        <f t="shared" si="1"/>
        <v/>
      </c>
      <c r="H475" s="7"/>
      <c r="K475" s="7">
        <f t="shared" si="2"/>
        <v>0</v>
      </c>
      <c r="N475" s="7">
        <f t="shared" si="3"/>
        <v>0</v>
      </c>
      <c r="O475" s="7">
        <f t="shared" si="4"/>
        <v>0</v>
      </c>
      <c r="P475" s="7">
        <f t="shared" si="5"/>
        <v>0</v>
      </c>
      <c r="R475" s="15"/>
      <c r="S475" s="15"/>
      <c r="T475" s="9">
        <f t="shared" si="7"/>
        <v>0</v>
      </c>
      <c r="U475" s="10"/>
      <c r="V475" s="9"/>
      <c r="W475" s="10"/>
      <c r="X475" s="13"/>
      <c r="Y475" s="13"/>
    </row>
    <row r="476" ht="31.5" customHeight="1">
      <c r="D476" s="6" t="str">
        <f t="shared" si="1"/>
        <v/>
      </c>
      <c r="H476" s="7"/>
      <c r="K476" s="7">
        <f t="shared" si="2"/>
        <v>0</v>
      </c>
      <c r="N476" s="7">
        <f t="shared" si="3"/>
        <v>0</v>
      </c>
      <c r="O476" s="7">
        <f t="shared" si="4"/>
        <v>0</v>
      </c>
      <c r="P476" s="7">
        <f t="shared" si="5"/>
        <v>0</v>
      </c>
      <c r="R476" s="15"/>
      <c r="S476" s="15"/>
      <c r="T476" s="9">
        <f t="shared" si="7"/>
        <v>0</v>
      </c>
      <c r="U476" s="10"/>
      <c r="V476" s="9"/>
      <c r="W476" s="10"/>
      <c r="X476" s="13"/>
      <c r="Y476" s="13"/>
    </row>
    <row r="477" ht="31.5" customHeight="1">
      <c r="D477" s="6" t="str">
        <f t="shared" si="1"/>
        <v/>
      </c>
      <c r="H477" s="7"/>
      <c r="K477" s="7">
        <f t="shared" si="2"/>
        <v>0</v>
      </c>
      <c r="N477" s="7">
        <f t="shared" si="3"/>
        <v>0</v>
      </c>
      <c r="O477" s="7">
        <f t="shared" si="4"/>
        <v>0</v>
      </c>
      <c r="P477" s="7">
        <f t="shared" si="5"/>
        <v>0</v>
      </c>
      <c r="R477" s="15"/>
      <c r="S477" s="15"/>
      <c r="T477" s="9">
        <f t="shared" si="7"/>
        <v>0</v>
      </c>
      <c r="U477" s="10"/>
      <c r="V477" s="9"/>
      <c r="W477" s="10"/>
      <c r="X477" s="13"/>
      <c r="Y477" s="13"/>
    </row>
    <row r="478" ht="31.5" customHeight="1">
      <c r="D478" s="6" t="str">
        <f t="shared" si="1"/>
        <v/>
      </c>
      <c r="H478" s="7"/>
      <c r="K478" s="7">
        <f t="shared" si="2"/>
        <v>0</v>
      </c>
      <c r="N478" s="7">
        <f t="shared" si="3"/>
        <v>0</v>
      </c>
      <c r="O478" s="7">
        <f t="shared" si="4"/>
        <v>0</v>
      </c>
      <c r="P478" s="7">
        <f t="shared" si="5"/>
        <v>0</v>
      </c>
      <c r="R478" s="15"/>
      <c r="S478" s="15"/>
      <c r="T478" s="9">
        <f t="shared" si="7"/>
        <v>0</v>
      </c>
      <c r="U478" s="10"/>
      <c r="V478" s="9"/>
      <c r="W478" s="10"/>
      <c r="X478" s="13"/>
      <c r="Y478" s="13"/>
    </row>
    <row r="479" ht="31.5" customHeight="1">
      <c r="D479" s="6" t="str">
        <f t="shared" si="1"/>
        <v/>
      </c>
      <c r="H479" s="7"/>
      <c r="K479" s="7">
        <f t="shared" si="2"/>
        <v>0</v>
      </c>
      <c r="N479" s="7">
        <f t="shared" si="3"/>
        <v>0</v>
      </c>
      <c r="O479" s="7">
        <f t="shared" si="4"/>
        <v>0</v>
      </c>
      <c r="P479" s="7">
        <f t="shared" si="5"/>
        <v>0</v>
      </c>
      <c r="R479" s="15"/>
      <c r="S479" s="15"/>
      <c r="T479" s="9">
        <f t="shared" si="7"/>
        <v>0</v>
      </c>
      <c r="U479" s="10"/>
      <c r="V479" s="9"/>
      <c r="W479" s="10"/>
      <c r="X479" s="13"/>
      <c r="Y479" s="13"/>
    </row>
    <row r="480" ht="31.5" customHeight="1">
      <c r="D480" s="6" t="str">
        <f t="shared" si="1"/>
        <v/>
      </c>
      <c r="H480" s="7"/>
      <c r="K480" s="7">
        <f t="shared" si="2"/>
        <v>0</v>
      </c>
      <c r="N480" s="7">
        <f t="shared" si="3"/>
        <v>0</v>
      </c>
      <c r="O480" s="7">
        <f t="shared" si="4"/>
        <v>0</v>
      </c>
      <c r="P480" s="7">
        <f t="shared" si="5"/>
        <v>0</v>
      </c>
      <c r="R480" s="15"/>
      <c r="S480" s="15"/>
      <c r="T480" s="9">
        <f t="shared" si="7"/>
        <v>0</v>
      </c>
      <c r="U480" s="10"/>
      <c r="V480" s="9"/>
      <c r="W480" s="10"/>
      <c r="X480" s="13"/>
      <c r="Y480" s="13"/>
    </row>
    <row r="481" ht="31.5" customHeight="1">
      <c r="D481" s="6" t="str">
        <f t="shared" si="1"/>
        <v/>
      </c>
      <c r="H481" s="7"/>
      <c r="K481" s="7">
        <f t="shared" si="2"/>
        <v>0</v>
      </c>
      <c r="N481" s="7">
        <f t="shared" si="3"/>
        <v>0</v>
      </c>
      <c r="O481" s="7">
        <f t="shared" si="4"/>
        <v>0</v>
      </c>
      <c r="P481" s="7">
        <f t="shared" si="5"/>
        <v>0</v>
      </c>
      <c r="R481" s="15"/>
      <c r="S481" s="15"/>
      <c r="T481" s="9">
        <f t="shared" si="7"/>
        <v>0</v>
      </c>
      <c r="U481" s="10"/>
      <c r="V481" s="9"/>
      <c r="W481" s="10"/>
      <c r="X481" s="13"/>
      <c r="Y481" s="13"/>
    </row>
    <row r="482" ht="31.5" customHeight="1">
      <c r="D482" s="6" t="str">
        <f t="shared" si="1"/>
        <v/>
      </c>
      <c r="H482" s="7"/>
      <c r="K482" s="7">
        <f t="shared" si="2"/>
        <v>0</v>
      </c>
      <c r="N482" s="7">
        <f t="shared" si="3"/>
        <v>0</v>
      </c>
      <c r="O482" s="7">
        <f t="shared" si="4"/>
        <v>0</v>
      </c>
      <c r="P482" s="7">
        <f t="shared" si="5"/>
        <v>0</v>
      </c>
      <c r="R482" s="15"/>
      <c r="S482" s="15"/>
      <c r="T482" s="9">
        <f t="shared" si="7"/>
        <v>0</v>
      </c>
      <c r="U482" s="10"/>
      <c r="V482" s="9"/>
      <c r="W482" s="10"/>
      <c r="X482" s="13"/>
      <c r="Y482" s="13"/>
    </row>
    <row r="483" ht="31.5" customHeight="1">
      <c r="D483" s="6" t="str">
        <f t="shared" si="1"/>
        <v/>
      </c>
      <c r="H483" s="7"/>
      <c r="K483" s="7">
        <f t="shared" si="2"/>
        <v>0</v>
      </c>
      <c r="N483" s="7">
        <f t="shared" si="3"/>
        <v>0</v>
      </c>
      <c r="O483" s="7">
        <f t="shared" si="4"/>
        <v>0</v>
      </c>
      <c r="P483" s="7">
        <f t="shared" si="5"/>
        <v>0</v>
      </c>
      <c r="R483" s="15"/>
      <c r="S483" s="15"/>
      <c r="T483" s="9">
        <f t="shared" si="7"/>
        <v>0</v>
      </c>
      <c r="U483" s="10"/>
      <c r="V483" s="9"/>
      <c r="W483" s="10"/>
      <c r="X483" s="13"/>
      <c r="Y483" s="13"/>
    </row>
    <row r="484" ht="31.5" customHeight="1">
      <c r="D484" s="6" t="str">
        <f t="shared" si="1"/>
        <v/>
      </c>
      <c r="H484" s="7"/>
      <c r="K484" s="7">
        <f t="shared" si="2"/>
        <v>0</v>
      </c>
      <c r="N484" s="7">
        <f t="shared" si="3"/>
        <v>0</v>
      </c>
      <c r="O484" s="7">
        <f t="shared" si="4"/>
        <v>0</v>
      </c>
      <c r="P484" s="7">
        <f t="shared" si="5"/>
        <v>0</v>
      </c>
      <c r="R484" s="15"/>
      <c r="S484" s="15"/>
      <c r="T484" s="9">
        <f t="shared" si="7"/>
        <v>0</v>
      </c>
      <c r="U484" s="10"/>
      <c r="V484" s="9"/>
      <c r="W484" s="10"/>
      <c r="X484" s="13"/>
      <c r="Y484" s="13"/>
    </row>
    <row r="485" ht="31.5" customHeight="1">
      <c r="D485" s="6" t="str">
        <f t="shared" si="1"/>
        <v/>
      </c>
      <c r="H485" s="7"/>
      <c r="K485" s="7">
        <f t="shared" si="2"/>
        <v>0</v>
      </c>
      <c r="N485" s="7">
        <f t="shared" si="3"/>
        <v>0</v>
      </c>
      <c r="O485" s="7">
        <f t="shared" si="4"/>
        <v>0</v>
      </c>
      <c r="P485" s="7">
        <f t="shared" si="5"/>
        <v>0</v>
      </c>
      <c r="R485" s="15"/>
      <c r="S485" s="15"/>
      <c r="T485" s="9">
        <f t="shared" si="7"/>
        <v>0</v>
      </c>
      <c r="U485" s="10"/>
      <c r="V485" s="9"/>
      <c r="W485" s="10"/>
      <c r="X485" s="13"/>
      <c r="Y485" s="13"/>
    </row>
    <row r="486" ht="31.5" customHeight="1">
      <c r="D486" s="6" t="str">
        <f t="shared" si="1"/>
        <v/>
      </c>
      <c r="H486" s="7"/>
      <c r="K486" s="7">
        <f t="shared" si="2"/>
        <v>0</v>
      </c>
      <c r="N486" s="7">
        <f t="shared" si="3"/>
        <v>0</v>
      </c>
      <c r="O486" s="7">
        <f t="shared" si="4"/>
        <v>0</v>
      </c>
      <c r="P486" s="7">
        <f t="shared" si="5"/>
        <v>0</v>
      </c>
      <c r="R486" s="15"/>
      <c r="S486" s="15"/>
      <c r="T486" s="9">
        <f t="shared" si="7"/>
        <v>0</v>
      </c>
      <c r="U486" s="10"/>
      <c r="V486" s="9"/>
      <c r="W486" s="10"/>
      <c r="X486" s="13"/>
      <c r="Y486" s="13"/>
    </row>
    <row r="487" ht="31.5" customHeight="1">
      <c r="D487" s="6" t="str">
        <f t="shared" si="1"/>
        <v/>
      </c>
      <c r="H487" s="7"/>
      <c r="K487" s="7">
        <f t="shared" si="2"/>
        <v>0</v>
      </c>
      <c r="N487" s="7">
        <f t="shared" si="3"/>
        <v>0</v>
      </c>
      <c r="O487" s="7">
        <f t="shared" si="4"/>
        <v>0</v>
      </c>
      <c r="P487" s="7">
        <f t="shared" si="5"/>
        <v>0</v>
      </c>
      <c r="R487" s="15"/>
      <c r="S487" s="15"/>
      <c r="T487" s="9">
        <f t="shared" si="7"/>
        <v>0</v>
      </c>
      <c r="U487" s="10"/>
      <c r="V487" s="9"/>
      <c r="W487" s="10"/>
      <c r="X487" s="13"/>
      <c r="Y487" s="13"/>
    </row>
    <row r="488" ht="31.5" customHeight="1">
      <c r="D488" s="6" t="str">
        <f t="shared" si="1"/>
        <v/>
      </c>
      <c r="H488" s="7"/>
      <c r="K488" s="7">
        <f t="shared" si="2"/>
        <v>0</v>
      </c>
      <c r="N488" s="7">
        <f t="shared" si="3"/>
        <v>0</v>
      </c>
      <c r="O488" s="7">
        <f t="shared" si="4"/>
        <v>0</v>
      </c>
      <c r="P488" s="7">
        <f t="shared" si="5"/>
        <v>0</v>
      </c>
      <c r="R488" s="15"/>
      <c r="S488" s="15"/>
      <c r="T488" s="9">
        <f t="shared" si="7"/>
        <v>0</v>
      </c>
      <c r="U488" s="10"/>
      <c r="V488" s="9"/>
      <c r="W488" s="10"/>
      <c r="X488" s="13"/>
      <c r="Y488" s="13"/>
    </row>
    <row r="489" ht="31.5" customHeight="1">
      <c r="D489" s="6" t="str">
        <f t="shared" si="1"/>
        <v/>
      </c>
      <c r="H489" s="7"/>
      <c r="K489" s="7">
        <f t="shared" si="2"/>
        <v>0</v>
      </c>
      <c r="N489" s="7">
        <f t="shared" si="3"/>
        <v>0</v>
      </c>
      <c r="O489" s="7">
        <f t="shared" si="4"/>
        <v>0</v>
      </c>
      <c r="P489" s="7">
        <f t="shared" si="5"/>
        <v>0</v>
      </c>
      <c r="R489" s="15"/>
      <c r="S489" s="15"/>
      <c r="T489" s="9">
        <f t="shared" si="7"/>
        <v>0</v>
      </c>
      <c r="U489" s="10"/>
      <c r="V489" s="9"/>
      <c r="W489" s="10"/>
      <c r="X489" s="13"/>
      <c r="Y489" s="13"/>
    </row>
    <row r="490" ht="31.5" customHeight="1">
      <c r="D490" s="6" t="str">
        <f t="shared" si="1"/>
        <v/>
      </c>
      <c r="H490" s="7"/>
      <c r="K490" s="7">
        <f t="shared" si="2"/>
        <v>0</v>
      </c>
      <c r="N490" s="7">
        <f t="shared" si="3"/>
        <v>0</v>
      </c>
      <c r="O490" s="7">
        <f t="shared" si="4"/>
        <v>0</v>
      </c>
      <c r="P490" s="7">
        <f t="shared" si="5"/>
        <v>0</v>
      </c>
      <c r="R490" s="15"/>
      <c r="S490" s="15"/>
      <c r="T490" s="9">
        <f t="shared" si="7"/>
        <v>0</v>
      </c>
      <c r="U490" s="10"/>
      <c r="V490" s="9"/>
      <c r="W490" s="10"/>
      <c r="X490" s="13"/>
      <c r="Y490" s="13"/>
    </row>
    <row r="491" ht="31.5" customHeight="1">
      <c r="D491" s="6" t="str">
        <f t="shared" si="1"/>
        <v/>
      </c>
      <c r="H491" s="7"/>
      <c r="K491" s="7">
        <f t="shared" si="2"/>
        <v>0</v>
      </c>
      <c r="N491" s="7">
        <f t="shared" si="3"/>
        <v>0</v>
      </c>
      <c r="O491" s="7">
        <f t="shared" si="4"/>
        <v>0</v>
      </c>
      <c r="P491" s="7">
        <f t="shared" si="5"/>
        <v>0</v>
      </c>
      <c r="R491" s="15"/>
      <c r="S491" s="15"/>
      <c r="T491" s="9">
        <f t="shared" si="7"/>
        <v>0</v>
      </c>
      <c r="U491" s="10"/>
      <c r="V491" s="9"/>
      <c r="W491" s="10"/>
      <c r="X491" s="13"/>
      <c r="Y491" s="13"/>
    </row>
    <row r="492" ht="31.5" customHeight="1">
      <c r="D492" s="6" t="str">
        <f t="shared" si="1"/>
        <v/>
      </c>
      <c r="H492" s="7"/>
      <c r="K492" s="7">
        <f t="shared" si="2"/>
        <v>0</v>
      </c>
      <c r="N492" s="7">
        <f t="shared" si="3"/>
        <v>0</v>
      </c>
      <c r="O492" s="7">
        <f t="shared" si="4"/>
        <v>0</v>
      </c>
      <c r="P492" s="7">
        <f t="shared" si="5"/>
        <v>0</v>
      </c>
      <c r="R492" s="15"/>
      <c r="S492" s="15"/>
      <c r="T492" s="9">
        <f t="shared" si="7"/>
        <v>0</v>
      </c>
      <c r="U492" s="10"/>
      <c r="V492" s="9"/>
      <c r="W492" s="10"/>
      <c r="X492" s="13"/>
      <c r="Y492" s="13"/>
    </row>
    <row r="493" ht="31.5" customHeight="1">
      <c r="D493" s="6" t="str">
        <f t="shared" si="1"/>
        <v/>
      </c>
      <c r="H493" s="7"/>
      <c r="K493" s="7">
        <f t="shared" si="2"/>
        <v>0</v>
      </c>
      <c r="N493" s="7">
        <f t="shared" si="3"/>
        <v>0</v>
      </c>
      <c r="O493" s="7">
        <f t="shared" si="4"/>
        <v>0</v>
      </c>
      <c r="P493" s="7">
        <f t="shared" si="5"/>
        <v>0</v>
      </c>
      <c r="R493" s="15"/>
      <c r="S493" s="15"/>
      <c r="T493" s="9">
        <f t="shared" si="7"/>
        <v>0</v>
      </c>
      <c r="U493" s="10"/>
      <c r="V493" s="9"/>
      <c r="W493" s="10"/>
      <c r="X493" s="13"/>
      <c r="Y493" s="13"/>
    </row>
    <row r="494" ht="31.5" customHeight="1">
      <c r="D494" s="6" t="str">
        <f t="shared" si="1"/>
        <v/>
      </c>
      <c r="H494" s="7"/>
      <c r="K494" s="7">
        <f t="shared" si="2"/>
        <v>0</v>
      </c>
      <c r="N494" s="7">
        <f t="shared" si="3"/>
        <v>0</v>
      </c>
      <c r="O494" s="7">
        <f t="shared" si="4"/>
        <v>0</v>
      </c>
      <c r="P494" s="7">
        <f t="shared" si="5"/>
        <v>0</v>
      </c>
      <c r="R494" s="15"/>
      <c r="S494" s="15"/>
      <c r="T494" s="9">
        <f t="shared" si="7"/>
        <v>0</v>
      </c>
      <c r="U494" s="10"/>
      <c r="V494" s="9"/>
      <c r="W494" s="10"/>
      <c r="X494" s="13"/>
      <c r="Y494" s="13"/>
    </row>
    <row r="495" ht="31.5" customHeight="1">
      <c r="D495" s="6" t="str">
        <f t="shared" si="1"/>
        <v/>
      </c>
      <c r="H495" s="7"/>
      <c r="K495" s="7">
        <f t="shared" si="2"/>
        <v>0</v>
      </c>
      <c r="N495" s="7">
        <f t="shared" si="3"/>
        <v>0</v>
      </c>
      <c r="O495" s="7">
        <f t="shared" si="4"/>
        <v>0</v>
      </c>
      <c r="P495" s="7">
        <f t="shared" si="5"/>
        <v>0</v>
      </c>
      <c r="R495" s="15"/>
      <c r="S495" s="15"/>
      <c r="T495" s="9">
        <f t="shared" si="7"/>
        <v>0</v>
      </c>
      <c r="U495" s="10"/>
      <c r="V495" s="9"/>
      <c r="W495" s="10"/>
      <c r="X495" s="13"/>
      <c r="Y495" s="13"/>
    </row>
    <row r="496" ht="31.5" customHeight="1">
      <c r="D496" s="6" t="str">
        <f t="shared" si="1"/>
        <v/>
      </c>
      <c r="H496" s="7"/>
      <c r="K496" s="7">
        <f t="shared" si="2"/>
        <v>0</v>
      </c>
      <c r="N496" s="7">
        <f t="shared" si="3"/>
        <v>0</v>
      </c>
      <c r="O496" s="7">
        <f t="shared" si="4"/>
        <v>0</v>
      </c>
      <c r="P496" s="7">
        <f t="shared" si="5"/>
        <v>0</v>
      </c>
      <c r="R496" s="15"/>
      <c r="S496" s="15"/>
      <c r="T496" s="9">
        <f t="shared" si="7"/>
        <v>0</v>
      </c>
      <c r="U496" s="10"/>
      <c r="V496" s="9"/>
      <c r="W496" s="10"/>
      <c r="X496" s="13"/>
      <c r="Y496" s="13"/>
    </row>
    <row r="497" ht="31.5" customHeight="1">
      <c r="D497" s="6" t="str">
        <f t="shared" si="1"/>
        <v/>
      </c>
      <c r="H497" s="7"/>
      <c r="K497" s="7">
        <f t="shared" si="2"/>
        <v>0</v>
      </c>
      <c r="N497" s="7">
        <f t="shared" si="3"/>
        <v>0</v>
      </c>
      <c r="O497" s="7">
        <f t="shared" si="4"/>
        <v>0</v>
      </c>
      <c r="P497" s="7">
        <f t="shared" si="5"/>
        <v>0</v>
      </c>
      <c r="R497" s="15"/>
      <c r="S497" s="15"/>
      <c r="T497" s="9">
        <f t="shared" si="7"/>
        <v>0</v>
      </c>
      <c r="U497" s="10"/>
      <c r="V497" s="9"/>
      <c r="W497" s="10"/>
      <c r="X497" s="13"/>
      <c r="Y497" s="13"/>
    </row>
    <row r="498" ht="31.5" customHeight="1">
      <c r="D498" s="6" t="str">
        <f t="shared" si="1"/>
        <v/>
      </c>
      <c r="H498" s="7"/>
      <c r="K498" s="7">
        <f t="shared" si="2"/>
        <v>0</v>
      </c>
      <c r="N498" s="7">
        <f t="shared" si="3"/>
        <v>0</v>
      </c>
      <c r="O498" s="7">
        <f t="shared" si="4"/>
        <v>0</v>
      </c>
      <c r="P498" s="7">
        <f t="shared" si="5"/>
        <v>0</v>
      </c>
      <c r="R498" s="15"/>
      <c r="S498" s="15"/>
      <c r="T498" s="9">
        <f t="shared" si="7"/>
        <v>0</v>
      </c>
      <c r="U498" s="10"/>
      <c r="V498" s="9"/>
      <c r="W498" s="10"/>
      <c r="X498" s="13"/>
      <c r="Y498" s="13"/>
    </row>
    <row r="499" ht="31.5" customHeight="1">
      <c r="D499" s="6" t="str">
        <f t="shared" si="1"/>
        <v/>
      </c>
      <c r="H499" s="7"/>
      <c r="K499" s="7">
        <f t="shared" si="2"/>
        <v>0</v>
      </c>
      <c r="N499" s="7">
        <f t="shared" si="3"/>
        <v>0</v>
      </c>
      <c r="O499" s="7">
        <f t="shared" si="4"/>
        <v>0</v>
      </c>
      <c r="P499" s="7">
        <f t="shared" si="5"/>
        <v>0</v>
      </c>
      <c r="R499" s="15"/>
      <c r="S499" s="15"/>
      <c r="T499" s="9">
        <f t="shared" si="7"/>
        <v>0</v>
      </c>
      <c r="U499" s="10"/>
      <c r="V499" s="9"/>
      <c r="W499" s="10"/>
      <c r="X499" s="13"/>
      <c r="Y499" s="13"/>
    </row>
    <row r="500" ht="31.5" customHeight="1">
      <c r="D500" s="6" t="str">
        <f t="shared" si="1"/>
        <v/>
      </c>
      <c r="H500" s="7"/>
      <c r="K500" s="7">
        <f t="shared" si="2"/>
        <v>0</v>
      </c>
      <c r="N500" s="7">
        <f t="shared" si="3"/>
        <v>0</v>
      </c>
      <c r="O500" s="7">
        <f t="shared" si="4"/>
        <v>0</v>
      </c>
      <c r="P500" s="7">
        <f t="shared" si="5"/>
        <v>0</v>
      </c>
      <c r="R500" s="15"/>
      <c r="S500" s="15"/>
      <c r="T500" s="9">
        <f t="shared" si="7"/>
        <v>0</v>
      </c>
      <c r="U500" s="10"/>
      <c r="V500" s="9"/>
      <c r="W500" s="10"/>
      <c r="X500" s="13"/>
      <c r="Y500" s="13"/>
    </row>
    <row r="501" ht="31.5" customHeight="1">
      <c r="D501" s="6" t="str">
        <f t="shared" si="1"/>
        <v/>
      </c>
      <c r="H501" s="7"/>
      <c r="K501" s="7">
        <f t="shared" si="2"/>
        <v>0</v>
      </c>
      <c r="N501" s="7">
        <f t="shared" si="3"/>
        <v>0</v>
      </c>
      <c r="O501" s="7">
        <f t="shared" si="4"/>
        <v>0</v>
      </c>
      <c r="P501" s="7">
        <f t="shared" si="5"/>
        <v>0</v>
      </c>
      <c r="R501" s="15"/>
      <c r="S501" s="15"/>
      <c r="T501" s="9">
        <f t="shared" si="7"/>
        <v>0</v>
      </c>
      <c r="U501" s="10"/>
      <c r="V501" s="9"/>
      <c r="W501" s="10"/>
      <c r="X501" s="13"/>
      <c r="Y501" s="13"/>
    </row>
    <row r="502" ht="31.5" customHeight="1">
      <c r="D502" s="6" t="str">
        <f t="shared" si="1"/>
        <v/>
      </c>
      <c r="H502" s="7"/>
      <c r="K502" s="7">
        <f t="shared" si="2"/>
        <v>0</v>
      </c>
      <c r="N502" s="7">
        <f t="shared" si="3"/>
        <v>0</v>
      </c>
      <c r="O502" s="7">
        <f t="shared" si="4"/>
        <v>0</v>
      </c>
      <c r="P502" s="7">
        <f t="shared" si="5"/>
        <v>0</v>
      </c>
      <c r="R502" s="15"/>
      <c r="S502" s="15"/>
      <c r="T502" s="9">
        <f t="shared" si="7"/>
        <v>0</v>
      </c>
      <c r="U502" s="10"/>
      <c r="V502" s="9"/>
      <c r="W502" s="10"/>
      <c r="X502" s="13"/>
      <c r="Y502" s="13"/>
    </row>
    <row r="503" ht="31.5" customHeight="1">
      <c r="D503" s="6" t="str">
        <f t="shared" si="1"/>
        <v/>
      </c>
      <c r="H503" s="7"/>
      <c r="K503" s="7">
        <f t="shared" si="2"/>
        <v>0</v>
      </c>
      <c r="N503" s="7">
        <f t="shared" si="3"/>
        <v>0</v>
      </c>
      <c r="O503" s="7">
        <f t="shared" si="4"/>
        <v>0</v>
      </c>
      <c r="P503" s="7">
        <f t="shared" si="5"/>
        <v>0</v>
      </c>
      <c r="R503" s="15"/>
      <c r="S503" s="15"/>
      <c r="T503" s="9">
        <f t="shared" si="7"/>
        <v>0</v>
      </c>
      <c r="U503" s="10"/>
      <c r="V503" s="9"/>
      <c r="W503" s="10"/>
      <c r="X503" s="13"/>
      <c r="Y503" s="13"/>
    </row>
    <row r="504" ht="31.5" customHeight="1">
      <c r="D504" s="6" t="str">
        <f t="shared" si="1"/>
        <v/>
      </c>
      <c r="H504" s="7"/>
      <c r="K504" s="7">
        <f t="shared" si="2"/>
        <v>0</v>
      </c>
      <c r="N504" s="7">
        <f t="shared" si="3"/>
        <v>0</v>
      </c>
      <c r="O504" s="7">
        <f t="shared" si="4"/>
        <v>0</v>
      </c>
      <c r="P504" s="7">
        <f t="shared" si="5"/>
        <v>0</v>
      </c>
      <c r="R504" s="15"/>
      <c r="S504" s="15"/>
      <c r="T504" s="9">
        <f t="shared" si="7"/>
        <v>0</v>
      </c>
      <c r="U504" s="10"/>
      <c r="V504" s="9"/>
      <c r="W504" s="10"/>
      <c r="X504" s="13"/>
      <c r="Y504" s="13"/>
    </row>
    <row r="505" ht="31.5" customHeight="1">
      <c r="D505" s="6" t="str">
        <f t="shared" si="1"/>
        <v/>
      </c>
      <c r="H505" s="7"/>
      <c r="K505" s="7">
        <f t="shared" si="2"/>
        <v>0</v>
      </c>
      <c r="N505" s="7">
        <f t="shared" si="3"/>
        <v>0</v>
      </c>
      <c r="O505" s="7">
        <f t="shared" si="4"/>
        <v>0</v>
      </c>
      <c r="P505" s="7">
        <f t="shared" si="5"/>
        <v>0</v>
      </c>
      <c r="R505" s="15"/>
      <c r="S505" s="15"/>
      <c r="T505" s="9">
        <f t="shared" si="7"/>
        <v>0</v>
      </c>
      <c r="U505" s="10"/>
      <c r="V505" s="9"/>
      <c r="W505" s="10"/>
      <c r="X505" s="13"/>
      <c r="Y505" s="13"/>
    </row>
    <row r="506" ht="31.5" customHeight="1">
      <c r="D506" s="6" t="str">
        <f t="shared" si="1"/>
        <v/>
      </c>
      <c r="H506" s="7"/>
      <c r="K506" s="7">
        <f t="shared" si="2"/>
        <v>0</v>
      </c>
      <c r="N506" s="7">
        <f t="shared" si="3"/>
        <v>0</v>
      </c>
      <c r="O506" s="7">
        <f t="shared" si="4"/>
        <v>0</v>
      </c>
      <c r="P506" s="7">
        <f t="shared" si="5"/>
        <v>0</v>
      </c>
      <c r="R506" s="15"/>
      <c r="S506" s="15"/>
      <c r="T506" s="9">
        <f t="shared" si="7"/>
        <v>0</v>
      </c>
      <c r="U506" s="10"/>
      <c r="V506" s="9"/>
      <c r="W506" s="10"/>
      <c r="X506" s="13"/>
      <c r="Y506" s="13"/>
    </row>
    <row r="507" ht="31.5" customHeight="1">
      <c r="D507" s="6" t="str">
        <f t="shared" si="1"/>
        <v/>
      </c>
      <c r="H507" s="7"/>
      <c r="K507" s="7">
        <f t="shared" si="2"/>
        <v>0</v>
      </c>
      <c r="N507" s="7">
        <f t="shared" si="3"/>
        <v>0</v>
      </c>
      <c r="O507" s="7">
        <f t="shared" si="4"/>
        <v>0</v>
      </c>
      <c r="P507" s="7">
        <f t="shared" si="5"/>
        <v>0</v>
      </c>
      <c r="R507" s="15"/>
      <c r="S507" s="15"/>
      <c r="T507" s="9">
        <f t="shared" si="7"/>
        <v>0</v>
      </c>
      <c r="U507" s="10"/>
      <c r="V507" s="9"/>
      <c r="W507" s="10"/>
      <c r="X507" s="13"/>
      <c r="Y507" s="13"/>
    </row>
    <row r="508" ht="31.5" customHeight="1">
      <c r="D508" s="6" t="str">
        <f t="shared" si="1"/>
        <v/>
      </c>
      <c r="H508" s="7"/>
      <c r="K508" s="7">
        <f t="shared" si="2"/>
        <v>0</v>
      </c>
      <c r="N508" s="7">
        <f t="shared" si="3"/>
        <v>0</v>
      </c>
      <c r="O508" s="7">
        <f t="shared" si="4"/>
        <v>0</v>
      </c>
      <c r="P508" s="7">
        <f t="shared" si="5"/>
        <v>0</v>
      </c>
      <c r="R508" s="15"/>
      <c r="S508" s="15"/>
      <c r="T508" s="9">
        <f t="shared" si="7"/>
        <v>0</v>
      </c>
      <c r="U508" s="10"/>
      <c r="V508" s="9"/>
      <c r="W508" s="10"/>
      <c r="X508" s="13"/>
      <c r="Y508" s="13"/>
    </row>
    <row r="509" ht="31.5" customHeight="1">
      <c r="D509" s="6" t="str">
        <f t="shared" si="1"/>
        <v/>
      </c>
      <c r="H509" s="7"/>
      <c r="K509" s="7">
        <f t="shared" si="2"/>
        <v>0</v>
      </c>
      <c r="N509" s="7">
        <f t="shared" si="3"/>
        <v>0</v>
      </c>
      <c r="O509" s="7">
        <f t="shared" si="4"/>
        <v>0</v>
      </c>
      <c r="P509" s="7">
        <f t="shared" si="5"/>
        <v>0</v>
      </c>
      <c r="R509" s="15"/>
      <c r="S509" s="15"/>
      <c r="T509" s="9">
        <f t="shared" si="7"/>
        <v>0</v>
      </c>
      <c r="U509" s="10"/>
      <c r="V509" s="9"/>
      <c r="W509" s="10"/>
      <c r="X509" s="13"/>
      <c r="Y509" s="13"/>
    </row>
    <row r="510" ht="31.5" customHeight="1">
      <c r="D510" s="6" t="str">
        <f t="shared" si="1"/>
        <v/>
      </c>
      <c r="H510" s="7"/>
      <c r="K510" s="7">
        <f t="shared" si="2"/>
        <v>0</v>
      </c>
      <c r="N510" s="7">
        <f t="shared" si="3"/>
        <v>0</v>
      </c>
      <c r="O510" s="7">
        <f t="shared" si="4"/>
        <v>0</v>
      </c>
      <c r="P510" s="7">
        <f t="shared" si="5"/>
        <v>0</v>
      </c>
      <c r="R510" s="15"/>
      <c r="S510" s="15"/>
      <c r="T510" s="9">
        <f t="shared" si="7"/>
        <v>0</v>
      </c>
      <c r="U510" s="10"/>
      <c r="V510" s="9"/>
      <c r="W510" s="10"/>
      <c r="X510" s="13"/>
      <c r="Y510" s="13"/>
    </row>
    <row r="511" ht="31.5" customHeight="1">
      <c r="D511" s="6" t="str">
        <f t="shared" si="1"/>
        <v/>
      </c>
      <c r="H511" s="7"/>
      <c r="K511" s="7">
        <f t="shared" si="2"/>
        <v>0</v>
      </c>
      <c r="N511" s="7">
        <f t="shared" si="3"/>
        <v>0</v>
      </c>
      <c r="O511" s="7">
        <f t="shared" si="4"/>
        <v>0</v>
      </c>
      <c r="P511" s="7">
        <f t="shared" si="5"/>
        <v>0</v>
      </c>
      <c r="R511" s="15"/>
      <c r="S511" s="15"/>
      <c r="T511" s="9">
        <f t="shared" si="7"/>
        <v>0</v>
      </c>
      <c r="U511" s="10"/>
      <c r="V511" s="9"/>
      <c r="W511" s="10"/>
      <c r="X511" s="13"/>
      <c r="Y511" s="13"/>
    </row>
    <row r="512" ht="31.5" customHeight="1">
      <c r="D512" s="6" t="str">
        <f t="shared" si="1"/>
        <v/>
      </c>
      <c r="H512" s="7"/>
      <c r="K512" s="7">
        <f t="shared" si="2"/>
        <v>0</v>
      </c>
      <c r="N512" s="7">
        <f t="shared" si="3"/>
        <v>0</v>
      </c>
      <c r="O512" s="7">
        <f t="shared" si="4"/>
        <v>0</v>
      </c>
      <c r="P512" s="7">
        <f t="shared" si="5"/>
        <v>0</v>
      </c>
      <c r="R512" s="15"/>
      <c r="S512" s="15"/>
      <c r="T512" s="9">
        <f t="shared" si="7"/>
        <v>0</v>
      </c>
      <c r="U512" s="10"/>
      <c r="V512" s="9"/>
      <c r="W512" s="10"/>
      <c r="X512" s="13"/>
      <c r="Y512" s="13"/>
    </row>
    <row r="513" ht="31.5" customHeight="1">
      <c r="D513" s="6" t="str">
        <f t="shared" si="1"/>
        <v/>
      </c>
      <c r="H513" s="7"/>
      <c r="K513" s="7">
        <f t="shared" si="2"/>
        <v>0</v>
      </c>
      <c r="N513" s="7">
        <f t="shared" si="3"/>
        <v>0</v>
      </c>
      <c r="O513" s="7">
        <f t="shared" si="4"/>
        <v>0</v>
      </c>
      <c r="P513" s="7">
        <f t="shared" si="5"/>
        <v>0</v>
      </c>
      <c r="R513" s="15"/>
      <c r="S513" s="15"/>
      <c r="T513" s="9">
        <f t="shared" si="7"/>
        <v>0</v>
      </c>
      <c r="U513" s="10"/>
      <c r="V513" s="9"/>
      <c r="W513" s="10"/>
      <c r="X513" s="13"/>
      <c r="Y513" s="13"/>
    </row>
    <row r="514" ht="31.5" customHeight="1">
      <c r="D514" s="6" t="str">
        <f t="shared" si="1"/>
        <v/>
      </c>
      <c r="H514" s="7"/>
      <c r="K514" s="7">
        <f t="shared" si="2"/>
        <v>0</v>
      </c>
      <c r="N514" s="7">
        <f t="shared" si="3"/>
        <v>0</v>
      </c>
      <c r="O514" s="7">
        <f t="shared" si="4"/>
        <v>0</v>
      </c>
      <c r="P514" s="7">
        <f t="shared" si="5"/>
        <v>0</v>
      </c>
      <c r="R514" s="15"/>
      <c r="S514" s="15"/>
      <c r="T514" s="9">
        <f t="shared" si="7"/>
        <v>0</v>
      </c>
      <c r="U514" s="10"/>
      <c r="V514" s="9"/>
      <c r="W514" s="10"/>
      <c r="X514" s="13"/>
      <c r="Y514" s="13"/>
    </row>
    <row r="515" ht="31.5" customHeight="1">
      <c r="D515" s="6" t="str">
        <f t="shared" si="1"/>
        <v/>
      </c>
      <c r="H515" s="7"/>
      <c r="K515" s="7">
        <f t="shared" si="2"/>
        <v>0</v>
      </c>
      <c r="N515" s="7">
        <f t="shared" si="3"/>
        <v>0</v>
      </c>
      <c r="O515" s="7">
        <f t="shared" si="4"/>
        <v>0</v>
      </c>
      <c r="P515" s="7">
        <f t="shared" si="5"/>
        <v>0</v>
      </c>
      <c r="R515" s="15"/>
      <c r="S515" s="15"/>
      <c r="T515" s="9">
        <f t="shared" si="7"/>
        <v>0</v>
      </c>
      <c r="U515" s="10"/>
      <c r="V515" s="9"/>
      <c r="W515" s="10"/>
      <c r="X515" s="13"/>
      <c r="Y515" s="13"/>
    </row>
    <row r="516" ht="31.5" customHeight="1">
      <c r="D516" s="6" t="str">
        <f t="shared" si="1"/>
        <v/>
      </c>
      <c r="H516" s="7"/>
      <c r="K516" s="7">
        <f t="shared" si="2"/>
        <v>0</v>
      </c>
      <c r="N516" s="7">
        <f t="shared" si="3"/>
        <v>0</v>
      </c>
      <c r="O516" s="7">
        <f t="shared" si="4"/>
        <v>0</v>
      </c>
      <c r="P516" s="7">
        <f t="shared" si="5"/>
        <v>0</v>
      </c>
      <c r="R516" s="15"/>
      <c r="S516" s="15"/>
      <c r="T516" s="9">
        <f t="shared" si="7"/>
        <v>0</v>
      </c>
      <c r="U516" s="10"/>
      <c r="V516" s="9"/>
      <c r="W516" s="10"/>
      <c r="X516" s="13"/>
      <c r="Y516" s="13"/>
    </row>
    <row r="517" ht="31.5" customHeight="1">
      <c r="D517" s="6" t="str">
        <f t="shared" si="1"/>
        <v/>
      </c>
      <c r="H517" s="7"/>
      <c r="K517" s="7">
        <f t="shared" si="2"/>
        <v>0</v>
      </c>
      <c r="N517" s="7">
        <f t="shared" si="3"/>
        <v>0</v>
      </c>
      <c r="O517" s="7">
        <f t="shared" si="4"/>
        <v>0</v>
      </c>
      <c r="P517" s="7">
        <f t="shared" si="5"/>
        <v>0</v>
      </c>
      <c r="R517" s="15"/>
      <c r="S517" s="15"/>
      <c r="T517" s="9">
        <f t="shared" si="7"/>
        <v>0</v>
      </c>
      <c r="U517" s="10"/>
      <c r="V517" s="9"/>
      <c r="W517" s="10"/>
      <c r="X517" s="13"/>
      <c r="Y517" s="13"/>
    </row>
    <row r="518" ht="31.5" customHeight="1">
      <c r="D518" s="6" t="str">
        <f t="shared" si="1"/>
        <v/>
      </c>
      <c r="H518" s="7"/>
      <c r="K518" s="7">
        <f t="shared" si="2"/>
        <v>0</v>
      </c>
      <c r="N518" s="7">
        <f t="shared" si="3"/>
        <v>0</v>
      </c>
      <c r="O518" s="7">
        <f t="shared" si="4"/>
        <v>0</v>
      </c>
      <c r="P518" s="7">
        <f t="shared" si="5"/>
        <v>0</v>
      </c>
      <c r="R518" s="15"/>
      <c r="S518" s="15"/>
      <c r="T518" s="9">
        <f t="shared" si="7"/>
        <v>0</v>
      </c>
      <c r="U518" s="10"/>
      <c r="V518" s="9"/>
      <c r="W518" s="10"/>
      <c r="X518" s="13"/>
      <c r="Y518" s="13"/>
    </row>
    <row r="519" ht="31.5" customHeight="1">
      <c r="D519" s="6" t="str">
        <f t="shared" si="1"/>
        <v/>
      </c>
      <c r="H519" s="7"/>
      <c r="K519" s="7">
        <f t="shared" si="2"/>
        <v>0</v>
      </c>
      <c r="N519" s="7">
        <f t="shared" si="3"/>
        <v>0</v>
      </c>
      <c r="O519" s="7">
        <f t="shared" si="4"/>
        <v>0</v>
      </c>
      <c r="P519" s="7">
        <f t="shared" si="5"/>
        <v>0</v>
      </c>
      <c r="R519" s="15"/>
      <c r="S519" s="15"/>
      <c r="T519" s="9">
        <f t="shared" si="7"/>
        <v>0</v>
      </c>
      <c r="U519" s="10"/>
      <c r="V519" s="9"/>
      <c r="W519" s="10"/>
      <c r="X519" s="13"/>
      <c r="Y519" s="13"/>
    </row>
    <row r="520" ht="31.5" customHeight="1">
      <c r="D520" s="6" t="str">
        <f t="shared" si="1"/>
        <v/>
      </c>
      <c r="H520" s="7"/>
      <c r="K520" s="7">
        <f t="shared" si="2"/>
        <v>0</v>
      </c>
      <c r="N520" s="7">
        <f t="shared" si="3"/>
        <v>0</v>
      </c>
      <c r="O520" s="7">
        <f t="shared" si="4"/>
        <v>0</v>
      </c>
      <c r="P520" s="7">
        <f t="shared" si="5"/>
        <v>0</v>
      </c>
      <c r="R520" s="15"/>
      <c r="S520" s="15"/>
      <c r="T520" s="9">
        <f t="shared" si="7"/>
        <v>0</v>
      </c>
      <c r="U520" s="10"/>
      <c r="V520" s="9"/>
      <c r="W520" s="10"/>
      <c r="X520" s="13"/>
      <c r="Y520" s="13"/>
    </row>
    <row r="521" ht="31.5" customHeight="1">
      <c r="D521" s="6" t="str">
        <f t="shared" si="1"/>
        <v/>
      </c>
      <c r="H521" s="7"/>
      <c r="K521" s="7">
        <f t="shared" si="2"/>
        <v>0</v>
      </c>
      <c r="N521" s="7">
        <f t="shared" si="3"/>
        <v>0</v>
      </c>
      <c r="O521" s="7">
        <f t="shared" si="4"/>
        <v>0</v>
      </c>
      <c r="P521" s="7">
        <f t="shared" si="5"/>
        <v>0</v>
      </c>
      <c r="R521" s="15"/>
      <c r="S521" s="15"/>
      <c r="T521" s="9">
        <f t="shared" si="7"/>
        <v>0</v>
      </c>
      <c r="U521" s="10"/>
      <c r="V521" s="9"/>
      <c r="W521" s="10"/>
      <c r="X521" s="13"/>
      <c r="Y521" s="13"/>
    </row>
    <row r="522" ht="31.5" customHeight="1">
      <c r="D522" s="6" t="str">
        <f t="shared" si="1"/>
        <v/>
      </c>
      <c r="H522" s="7"/>
      <c r="K522" s="7">
        <f t="shared" si="2"/>
        <v>0</v>
      </c>
      <c r="N522" s="7">
        <f t="shared" si="3"/>
        <v>0</v>
      </c>
      <c r="O522" s="7">
        <f t="shared" si="4"/>
        <v>0</v>
      </c>
      <c r="P522" s="7">
        <f t="shared" si="5"/>
        <v>0</v>
      </c>
      <c r="R522" s="15"/>
      <c r="S522" s="15"/>
      <c r="T522" s="9">
        <f t="shared" si="7"/>
        <v>0</v>
      </c>
      <c r="U522" s="10"/>
      <c r="V522" s="9"/>
      <c r="W522" s="10"/>
      <c r="X522" s="13"/>
      <c r="Y522" s="13"/>
    </row>
    <row r="523" ht="31.5" customHeight="1">
      <c r="D523" s="6" t="str">
        <f t="shared" si="1"/>
        <v/>
      </c>
      <c r="H523" s="7"/>
      <c r="K523" s="7">
        <f t="shared" si="2"/>
        <v>0</v>
      </c>
      <c r="N523" s="7">
        <f t="shared" si="3"/>
        <v>0</v>
      </c>
      <c r="O523" s="7">
        <f t="shared" si="4"/>
        <v>0</v>
      </c>
      <c r="P523" s="7">
        <f t="shared" si="5"/>
        <v>0</v>
      </c>
      <c r="R523" s="15"/>
      <c r="S523" s="15"/>
      <c r="T523" s="9">
        <f t="shared" si="7"/>
        <v>0</v>
      </c>
      <c r="U523" s="10"/>
      <c r="V523" s="9"/>
      <c r="W523" s="10"/>
      <c r="X523" s="13"/>
      <c r="Y523" s="13"/>
    </row>
    <row r="524" ht="31.5" customHeight="1">
      <c r="D524" s="6" t="str">
        <f t="shared" si="1"/>
        <v/>
      </c>
      <c r="H524" s="7"/>
      <c r="K524" s="7">
        <f t="shared" si="2"/>
        <v>0</v>
      </c>
      <c r="N524" s="7">
        <f t="shared" si="3"/>
        <v>0</v>
      </c>
      <c r="O524" s="7">
        <f t="shared" si="4"/>
        <v>0</v>
      </c>
      <c r="P524" s="7">
        <f t="shared" si="5"/>
        <v>0</v>
      </c>
      <c r="R524" s="15"/>
      <c r="S524" s="15"/>
      <c r="T524" s="9">
        <f t="shared" si="7"/>
        <v>0</v>
      </c>
      <c r="U524" s="10"/>
      <c r="V524" s="9"/>
      <c r="W524" s="10"/>
      <c r="X524" s="13"/>
      <c r="Y524" s="13"/>
    </row>
    <row r="525" ht="31.5" customHeight="1">
      <c r="D525" s="6" t="str">
        <f t="shared" si="1"/>
        <v/>
      </c>
      <c r="H525" s="7"/>
      <c r="K525" s="7">
        <f t="shared" si="2"/>
        <v>0</v>
      </c>
      <c r="N525" s="7">
        <f t="shared" si="3"/>
        <v>0</v>
      </c>
      <c r="O525" s="7">
        <f t="shared" si="4"/>
        <v>0</v>
      </c>
      <c r="P525" s="7">
        <f t="shared" si="5"/>
        <v>0</v>
      </c>
      <c r="R525" s="15"/>
      <c r="S525" s="15"/>
      <c r="T525" s="9">
        <f t="shared" si="7"/>
        <v>0</v>
      </c>
      <c r="U525" s="10"/>
      <c r="V525" s="9"/>
      <c r="W525" s="10"/>
      <c r="X525" s="13"/>
      <c r="Y525" s="13"/>
    </row>
    <row r="526" ht="31.5" customHeight="1">
      <c r="D526" s="6" t="str">
        <f t="shared" si="1"/>
        <v/>
      </c>
      <c r="H526" s="7"/>
      <c r="K526" s="7">
        <f t="shared" si="2"/>
        <v>0</v>
      </c>
      <c r="N526" s="7">
        <f t="shared" si="3"/>
        <v>0</v>
      </c>
      <c r="O526" s="7">
        <f t="shared" si="4"/>
        <v>0</v>
      </c>
      <c r="P526" s="7">
        <f t="shared" si="5"/>
        <v>0</v>
      </c>
      <c r="R526" s="15"/>
      <c r="S526" s="15"/>
      <c r="T526" s="9">
        <f t="shared" si="7"/>
        <v>0</v>
      </c>
      <c r="U526" s="10"/>
      <c r="V526" s="9"/>
      <c r="W526" s="10"/>
      <c r="X526" s="13"/>
      <c r="Y526" s="13"/>
    </row>
    <row r="527" ht="31.5" customHeight="1">
      <c r="D527" s="6" t="str">
        <f t="shared" si="1"/>
        <v/>
      </c>
      <c r="H527" s="7"/>
      <c r="K527" s="7">
        <f t="shared" si="2"/>
        <v>0</v>
      </c>
      <c r="N527" s="7">
        <f t="shared" si="3"/>
        <v>0</v>
      </c>
      <c r="O527" s="7">
        <f t="shared" si="4"/>
        <v>0</v>
      </c>
      <c r="P527" s="7">
        <f t="shared" si="5"/>
        <v>0</v>
      </c>
      <c r="R527" s="15"/>
      <c r="S527" s="15"/>
      <c r="T527" s="9">
        <f t="shared" si="7"/>
        <v>0</v>
      </c>
      <c r="U527" s="10"/>
      <c r="V527" s="9"/>
      <c r="W527" s="10"/>
      <c r="X527" s="13"/>
      <c r="Y527" s="13"/>
    </row>
    <row r="528" ht="31.5" customHeight="1">
      <c r="D528" s="6" t="str">
        <f t="shared" si="1"/>
        <v/>
      </c>
      <c r="H528" s="7"/>
      <c r="K528" s="7">
        <f t="shared" si="2"/>
        <v>0</v>
      </c>
      <c r="N528" s="7">
        <f t="shared" si="3"/>
        <v>0</v>
      </c>
      <c r="O528" s="7">
        <f t="shared" si="4"/>
        <v>0</v>
      </c>
      <c r="P528" s="7">
        <f t="shared" si="5"/>
        <v>0</v>
      </c>
      <c r="R528" s="15"/>
      <c r="S528" s="15"/>
      <c r="T528" s="9">
        <f t="shared" si="7"/>
        <v>0</v>
      </c>
      <c r="U528" s="10"/>
      <c r="V528" s="9"/>
      <c r="W528" s="10"/>
      <c r="X528" s="13"/>
      <c r="Y528" s="13"/>
    </row>
    <row r="529" ht="31.5" customHeight="1">
      <c r="D529" s="6" t="str">
        <f t="shared" si="1"/>
        <v/>
      </c>
      <c r="H529" s="7"/>
      <c r="K529" s="7">
        <f t="shared" si="2"/>
        <v>0</v>
      </c>
      <c r="N529" s="7">
        <f t="shared" si="3"/>
        <v>0</v>
      </c>
      <c r="O529" s="7">
        <f t="shared" si="4"/>
        <v>0</v>
      </c>
      <c r="P529" s="7">
        <f t="shared" si="5"/>
        <v>0</v>
      </c>
      <c r="R529" s="15"/>
      <c r="S529" s="15"/>
      <c r="T529" s="9">
        <f t="shared" si="7"/>
        <v>0</v>
      </c>
      <c r="U529" s="10"/>
      <c r="V529" s="9"/>
      <c r="W529" s="10"/>
      <c r="X529" s="13"/>
      <c r="Y529" s="13"/>
    </row>
    <row r="530" ht="31.5" customHeight="1">
      <c r="D530" s="6" t="str">
        <f t="shared" si="1"/>
        <v/>
      </c>
      <c r="H530" s="7"/>
      <c r="K530" s="7">
        <f t="shared" si="2"/>
        <v>0</v>
      </c>
      <c r="N530" s="7">
        <f t="shared" si="3"/>
        <v>0</v>
      </c>
      <c r="O530" s="7">
        <f t="shared" si="4"/>
        <v>0</v>
      </c>
      <c r="P530" s="7">
        <f t="shared" si="5"/>
        <v>0</v>
      </c>
      <c r="R530" s="15"/>
      <c r="S530" s="15"/>
      <c r="T530" s="9">
        <f t="shared" si="7"/>
        <v>0</v>
      </c>
      <c r="U530" s="10"/>
      <c r="V530" s="9"/>
      <c r="W530" s="10"/>
      <c r="X530" s="13"/>
      <c r="Y530" s="13"/>
    </row>
    <row r="531" ht="31.5" customHeight="1">
      <c r="D531" s="6" t="str">
        <f t="shared" si="1"/>
        <v/>
      </c>
      <c r="H531" s="7"/>
      <c r="K531" s="7">
        <f t="shared" si="2"/>
        <v>0</v>
      </c>
      <c r="N531" s="7">
        <f t="shared" si="3"/>
        <v>0</v>
      </c>
      <c r="O531" s="7">
        <f t="shared" si="4"/>
        <v>0</v>
      </c>
      <c r="P531" s="7">
        <f t="shared" si="5"/>
        <v>0</v>
      </c>
      <c r="R531" s="15"/>
      <c r="S531" s="15"/>
      <c r="T531" s="9">
        <f t="shared" si="7"/>
        <v>0</v>
      </c>
      <c r="U531" s="10"/>
      <c r="V531" s="9"/>
      <c r="W531" s="10"/>
      <c r="X531" s="13"/>
      <c r="Y531" s="13"/>
    </row>
    <row r="532" ht="31.5" customHeight="1">
      <c r="D532" s="6" t="str">
        <f t="shared" si="1"/>
        <v/>
      </c>
      <c r="H532" s="7"/>
      <c r="K532" s="7">
        <f t="shared" si="2"/>
        <v>0</v>
      </c>
      <c r="N532" s="7">
        <f t="shared" si="3"/>
        <v>0</v>
      </c>
      <c r="O532" s="7">
        <f t="shared" si="4"/>
        <v>0</v>
      </c>
      <c r="P532" s="7">
        <f t="shared" si="5"/>
        <v>0</v>
      </c>
      <c r="R532" s="15"/>
      <c r="S532" s="15"/>
      <c r="T532" s="9">
        <f t="shared" si="7"/>
        <v>0</v>
      </c>
      <c r="U532" s="10"/>
      <c r="V532" s="9"/>
      <c r="W532" s="10"/>
      <c r="X532" s="13"/>
      <c r="Y532" s="13"/>
    </row>
    <row r="533" ht="31.5" customHeight="1">
      <c r="D533" s="6" t="str">
        <f t="shared" si="1"/>
        <v/>
      </c>
      <c r="H533" s="7"/>
      <c r="K533" s="7">
        <f t="shared" si="2"/>
        <v>0</v>
      </c>
      <c r="N533" s="7">
        <f t="shared" si="3"/>
        <v>0</v>
      </c>
      <c r="O533" s="7">
        <f t="shared" si="4"/>
        <v>0</v>
      </c>
      <c r="P533" s="7">
        <f t="shared" si="5"/>
        <v>0</v>
      </c>
      <c r="R533" s="15"/>
      <c r="S533" s="15"/>
      <c r="T533" s="9">
        <f t="shared" si="7"/>
        <v>0</v>
      </c>
      <c r="U533" s="10"/>
      <c r="V533" s="9"/>
      <c r="W533" s="10"/>
      <c r="X533" s="13"/>
      <c r="Y533" s="13"/>
    </row>
    <row r="534" ht="31.5" customHeight="1">
      <c r="D534" s="6" t="str">
        <f t="shared" si="1"/>
        <v/>
      </c>
      <c r="H534" s="7"/>
      <c r="K534" s="7">
        <f t="shared" si="2"/>
        <v>0</v>
      </c>
      <c r="N534" s="7">
        <f t="shared" si="3"/>
        <v>0</v>
      </c>
      <c r="O534" s="7">
        <f t="shared" si="4"/>
        <v>0</v>
      </c>
      <c r="P534" s="7">
        <f t="shared" si="5"/>
        <v>0</v>
      </c>
      <c r="R534" s="15"/>
      <c r="S534" s="15"/>
      <c r="T534" s="9">
        <f t="shared" si="7"/>
        <v>0</v>
      </c>
      <c r="U534" s="10"/>
      <c r="V534" s="9"/>
      <c r="W534" s="10"/>
      <c r="X534" s="13"/>
      <c r="Y534" s="13"/>
    </row>
    <row r="535" ht="31.5" customHeight="1">
      <c r="D535" s="6" t="str">
        <f t="shared" si="1"/>
        <v/>
      </c>
      <c r="H535" s="7"/>
      <c r="K535" s="7">
        <f t="shared" si="2"/>
        <v>0</v>
      </c>
      <c r="N535" s="7">
        <f t="shared" si="3"/>
        <v>0</v>
      </c>
      <c r="O535" s="7">
        <f t="shared" si="4"/>
        <v>0</v>
      </c>
      <c r="P535" s="7">
        <f t="shared" si="5"/>
        <v>0</v>
      </c>
      <c r="R535" s="15"/>
      <c r="S535" s="15"/>
      <c r="T535" s="9">
        <f t="shared" si="7"/>
        <v>0</v>
      </c>
      <c r="U535" s="10"/>
      <c r="V535" s="9"/>
      <c r="W535" s="10"/>
      <c r="X535" s="13"/>
      <c r="Y535" s="13"/>
    </row>
    <row r="536" ht="31.5" customHeight="1">
      <c r="D536" s="6" t="str">
        <f t="shared" si="1"/>
        <v/>
      </c>
      <c r="H536" s="7"/>
      <c r="K536" s="7">
        <f t="shared" si="2"/>
        <v>0</v>
      </c>
      <c r="N536" s="7">
        <f t="shared" si="3"/>
        <v>0</v>
      </c>
      <c r="O536" s="7">
        <f t="shared" si="4"/>
        <v>0</v>
      </c>
      <c r="P536" s="7">
        <f t="shared" si="5"/>
        <v>0</v>
      </c>
      <c r="R536" s="15"/>
      <c r="S536" s="15"/>
      <c r="T536" s="9">
        <f t="shared" si="7"/>
        <v>0</v>
      </c>
      <c r="U536" s="10"/>
      <c r="V536" s="9"/>
      <c r="W536" s="10"/>
      <c r="X536" s="13"/>
      <c r="Y536" s="13"/>
    </row>
    <row r="537" ht="31.5" customHeight="1">
      <c r="D537" s="6" t="str">
        <f t="shared" si="1"/>
        <v/>
      </c>
      <c r="H537" s="7"/>
      <c r="K537" s="7">
        <f t="shared" si="2"/>
        <v>0</v>
      </c>
      <c r="N537" s="7">
        <f t="shared" si="3"/>
        <v>0</v>
      </c>
      <c r="O537" s="7">
        <f t="shared" si="4"/>
        <v>0</v>
      </c>
      <c r="P537" s="7">
        <f t="shared" si="5"/>
        <v>0</v>
      </c>
      <c r="R537" s="15"/>
      <c r="S537" s="15"/>
      <c r="T537" s="9">
        <f t="shared" si="7"/>
        <v>0</v>
      </c>
      <c r="U537" s="10"/>
      <c r="V537" s="9"/>
      <c r="W537" s="10"/>
      <c r="X537" s="13"/>
      <c r="Y537" s="13"/>
    </row>
    <row r="538" ht="31.5" customHeight="1">
      <c r="D538" s="6" t="str">
        <f t="shared" si="1"/>
        <v/>
      </c>
      <c r="H538" s="7"/>
      <c r="K538" s="7">
        <f t="shared" si="2"/>
        <v>0</v>
      </c>
      <c r="N538" s="7">
        <f t="shared" si="3"/>
        <v>0</v>
      </c>
      <c r="O538" s="7">
        <f t="shared" si="4"/>
        <v>0</v>
      </c>
      <c r="P538" s="7">
        <f t="shared" si="5"/>
        <v>0</v>
      </c>
      <c r="R538" s="15"/>
      <c r="S538" s="15"/>
      <c r="T538" s="9">
        <f t="shared" si="7"/>
        <v>0</v>
      </c>
      <c r="U538" s="10"/>
      <c r="V538" s="9"/>
      <c r="W538" s="10"/>
      <c r="X538" s="13"/>
      <c r="Y538" s="13"/>
    </row>
    <row r="539" ht="31.5" customHeight="1">
      <c r="D539" s="6" t="str">
        <f t="shared" si="1"/>
        <v/>
      </c>
      <c r="H539" s="7"/>
      <c r="K539" s="7">
        <f t="shared" si="2"/>
        <v>0</v>
      </c>
      <c r="N539" s="7">
        <f t="shared" si="3"/>
        <v>0</v>
      </c>
      <c r="O539" s="7">
        <f t="shared" si="4"/>
        <v>0</v>
      </c>
      <c r="P539" s="7">
        <f t="shared" si="5"/>
        <v>0</v>
      </c>
      <c r="R539" s="15"/>
      <c r="S539" s="15"/>
      <c r="T539" s="9">
        <f t="shared" si="7"/>
        <v>0</v>
      </c>
      <c r="U539" s="10"/>
      <c r="V539" s="9"/>
      <c r="W539" s="10"/>
      <c r="X539" s="13"/>
      <c r="Y539" s="13"/>
    </row>
    <row r="540" ht="31.5" customHeight="1">
      <c r="D540" s="6" t="str">
        <f t="shared" si="1"/>
        <v/>
      </c>
      <c r="H540" s="7"/>
      <c r="K540" s="7">
        <f t="shared" si="2"/>
        <v>0</v>
      </c>
      <c r="N540" s="7">
        <f t="shared" si="3"/>
        <v>0</v>
      </c>
      <c r="O540" s="7">
        <f t="shared" si="4"/>
        <v>0</v>
      </c>
      <c r="P540" s="7">
        <f t="shared" si="5"/>
        <v>0</v>
      </c>
      <c r="R540" s="15"/>
      <c r="S540" s="15"/>
      <c r="T540" s="9">
        <f t="shared" si="7"/>
        <v>0</v>
      </c>
      <c r="U540" s="10"/>
      <c r="V540" s="9"/>
      <c r="W540" s="10"/>
      <c r="X540" s="13"/>
      <c r="Y540" s="13"/>
    </row>
    <row r="541" ht="31.5" customHeight="1">
      <c r="D541" s="6" t="str">
        <f t="shared" si="1"/>
        <v/>
      </c>
      <c r="H541" s="7"/>
      <c r="K541" s="7">
        <f t="shared" si="2"/>
        <v>0</v>
      </c>
      <c r="N541" s="7">
        <f t="shared" si="3"/>
        <v>0</v>
      </c>
      <c r="O541" s="7">
        <f t="shared" si="4"/>
        <v>0</v>
      </c>
      <c r="P541" s="7">
        <f t="shared" si="5"/>
        <v>0</v>
      </c>
      <c r="R541" s="15"/>
      <c r="S541" s="15"/>
      <c r="T541" s="9">
        <f t="shared" si="7"/>
        <v>0</v>
      </c>
      <c r="U541" s="10"/>
      <c r="V541" s="9"/>
      <c r="W541" s="10"/>
      <c r="X541" s="13"/>
      <c r="Y541" s="13"/>
    </row>
    <row r="542" ht="31.5" customHeight="1">
      <c r="D542" s="6" t="str">
        <f t="shared" si="1"/>
        <v/>
      </c>
      <c r="H542" s="7"/>
      <c r="K542" s="7">
        <f t="shared" si="2"/>
        <v>0</v>
      </c>
      <c r="N542" s="7">
        <f t="shared" si="3"/>
        <v>0</v>
      </c>
      <c r="O542" s="7">
        <f t="shared" si="4"/>
        <v>0</v>
      </c>
      <c r="P542" s="7">
        <f t="shared" si="5"/>
        <v>0</v>
      </c>
      <c r="R542" s="15"/>
      <c r="S542" s="15"/>
      <c r="T542" s="9">
        <f t="shared" si="7"/>
        <v>0</v>
      </c>
      <c r="U542" s="10"/>
      <c r="V542" s="9"/>
      <c r="W542" s="10"/>
      <c r="X542" s="13"/>
      <c r="Y542" s="13"/>
    </row>
    <row r="543" ht="31.5" customHeight="1">
      <c r="D543" s="6" t="str">
        <f t="shared" si="1"/>
        <v/>
      </c>
      <c r="H543" s="7"/>
      <c r="K543" s="7">
        <f t="shared" si="2"/>
        <v>0</v>
      </c>
      <c r="N543" s="7">
        <f t="shared" si="3"/>
        <v>0</v>
      </c>
      <c r="O543" s="7">
        <f t="shared" si="4"/>
        <v>0</v>
      </c>
      <c r="P543" s="7">
        <f t="shared" si="5"/>
        <v>0</v>
      </c>
      <c r="R543" s="15"/>
      <c r="S543" s="15"/>
      <c r="T543" s="9">
        <f t="shared" si="7"/>
        <v>0</v>
      </c>
      <c r="U543" s="10"/>
      <c r="V543" s="9"/>
      <c r="W543" s="10"/>
      <c r="X543" s="13"/>
      <c r="Y543" s="13"/>
    </row>
    <row r="544" ht="31.5" customHeight="1">
      <c r="D544" s="6" t="str">
        <f t="shared" si="1"/>
        <v/>
      </c>
      <c r="H544" s="7"/>
      <c r="K544" s="7">
        <f t="shared" si="2"/>
        <v>0</v>
      </c>
      <c r="N544" s="7">
        <f t="shared" si="3"/>
        <v>0</v>
      </c>
      <c r="O544" s="7">
        <f t="shared" si="4"/>
        <v>0</v>
      </c>
      <c r="P544" s="7">
        <f t="shared" si="5"/>
        <v>0</v>
      </c>
      <c r="R544" s="15"/>
      <c r="S544" s="15"/>
      <c r="T544" s="9">
        <f t="shared" si="7"/>
        <v>0</v>
      </c>
      <c r="U544" s="10"/>
      <c r="V544" s="9"/>
      <c r="W544" s="10"/>
      <c r="X544" s="13"/>
      <c r="Y544" s="13"/>
    </row>
    <row r="545" ht="31.5" customHeight="1">
      <c r="D545" s="6" t="str">
        <f t="shared" si="1"/>
        <v/>
      </c>
      <c r="H545" s="7"/>
      <c r="K545" s="7">
        <f t="shared" si="2"/>
        <v>0</v>
      </c>
      <c r="N545" s="7">
        <f t="shared" si="3"/>
        <v>0</v>
      </c>
      <c r="O545" s="7">
        <f t="shared" si="4"/>
        <v>0</v>
      </c>
      <c r="P545" s="7">
        <f t="shared" si="5"/>
        <v>0</v>
      </c>
      <c r="R545" s="15"/>
      <c r="S545" s="15"/>
      <c r="T545" s="9">
        <f t="shared" si="7"/>
        <v>0</v>
      </c>
      <c r="U545" s="10"/>
      <c r="V545" s="9"/>
      <c r="W545" s="10"/>
      <c r="X545" s="13"/>
      <c r="Y545" s="13"/>
    </row>
    <row r="546" ht="31.5" customHeight="1">
      <c r="D546" s="6" t="str">
        <f t="shared" si="1"/>
        <v/>
      </c>
      <c r="H546" s="7"/>
      <c r="K546" s="7">
        <f t="shared" si="2"/>
        <v>0</v>
      </c>
      <c r="N546" s="7">
        <f t="shared" si="3"/>
        <v>0</v>
      </c>
      <c r="O546" s="7">
        <f t="shared" si="4"/>
        <v>0</v>
      </c>
      <c r="P546" s="7">
        <f t="shared" si="5"/>
        <v>0</v>
      </c>
      <c r="R546" s="15"/>
      <c r="S546" s="15"/>
      <c r="T546" s="9">
        <f t="shared" si="7"/>
        <v>0</v>
      </c>
      <c r="U546" s="10"/>
      <c r="V546" s="9"/>
      <c r="W546" s="10"/>
      <c r="X546" s="13"/>
      <c r="Y546" s="13"/>
    </row>
    <row r="547" ht="31.5" customHeight="1">
      <c r="D547" s="6" t="str">
        <f t="shared" si="1"/>
        <v/>
      </c>
      <c r="H547" s="7"/>
      <c r="K547" s="7">
        <f t="shared" si="2"/>
        <v>0</v>
      </c>
      <c r="N547" s="7">
        <f t="shared" si="3"/>
        <v>0</v>
      </c>
      <c r="O547" s="7">
        <f t="shared" si="4"/>
        <v>0</v>
      </c>
      <c r="P547" s="7">
        <f t="shared" si="5"/>
        <v>0</v>
      </c>
      <c r="R547" s="15"/>
      <c r="S547" s="15"/>
      <c r="T547" s="9">
        <f t="shared" si="7"/>
        <v>0</v>
      </c>
      <c r="U547" s="10"/>
      <c r="V547" s="9"/>
      <c r="W547" s="10"/>
      <c r="X547" s="13"/>
      <c r="Y547" s="13"/>
    </row>
    <row r="548" ht="31.5" customHeight="1">
      <c r="D548" s="6" t="str">
        <f t="shared" si="1"/>
        <v/>
      </c>
      <c r="H548" s="7"/>
      <c r="K548" s="7">
        <f t="shared" si="2"/>
        <v>0</v>
      </c>
      <c r="N548" s="7">
        <f t="shared" si="3"/>
        <v>0</v>
      </c>
      <c r="O548" s="7">
        <f t="shared" si="4"/>
        <v>0</v>
      </c>
      <c r="P548" s="7">
        <f t="shared" si="5"/>
        <v>0</v>
      </c>
      <c r="R548" s="15"/>
      <c r="S548" s="15"/>
      <c r="T548" s="9">
        <f t="shared" si="7"/>
        <v>0</v>
      </c>
      <c r="U548" s="10"/>
      <c r="V548" s="9"/>
      <c r="W548" s="10"/>
      <c r="X548" s="13"/>
      <c r="Y548" s="13"/>
    </row>
    <row r="549" ht="31.5" customHeight="1">
      <c r="D549" s="6" t="str">
        <f t="shared" si="1"/>
        <v/>
      </c>
      <c r="H549" s="7"/>
      <c r="K549" s="7">
        <f t="shared" si="2"/>
        <v>0</v>
      </c>
      <c r="N549" s="7">
        <f t="shared" si="3"/>
        <v>0</v>
      </c>
      <c r="O549" s="7">
        <f t="shared" si="4"/>
        <v>0</v>
      </c>
      <c r="P549" s="7">
        <f t="shared" si="5"/>
        <v>0</v>
      </c>
      <c r="R549" s="15"/>
      <c r="S549" s="15"/>
      <c r="T549" s="9">
        <f t="shared" si="7"/>
        <v>0</v>
      </c>
      <c r="U549" s="10"/>
      <c r="V549" s="9"/>
      <c r="W549" s="10"/>
      <c r="X549" s="13"/>
      <c r="Y549" s="13"/>
    </row>
    <row r="550" ht="31.5" customHeight="1">
      <c r="D550" s="6" t="str">
        <f t="shared" si="1"/>
        <v/>
      </c>
      <c r="H550" s="7"/>
      <c r="K550" s="7">
        <f t="shared" si="2"/>
        <v>0</v>
      </c>
      <c r="N550" s="7">
        <f t="shared" si="3"/>
        <v>0</v>
      </c>
      <c r="O550" s="7">
        <f t="shared" si="4"/>
        <v>0</v>
      </c>
      <c r="P550" s="7">
        <f t="shared" si="5"/>
        <v>0</v>
      </c>
      <c r="R550" s="15"/>
      <c r="S550" s="15"/>
      <c r="T550" s="9">
        <f t="shared" si="7"/>
        <v>0</v>
      </c>
      <c r="U550" s="10"/>
      <c r="V550" s="9"/>
      <c r="W550" s="10"/>
      <c r="X550" s="13"/>
      <c r="Y550" s="13"/>
    </row>
    <row r="551" ht="31.5" customHeight="1">
      <c r="D551" s="6" t="str">
        <f t="shared" si="1"/>
        <v/>
      </c>
      <c r="H551" s="7"/>
      <c r="K551" s="7">
        <f t="shared" si="2"/>
        <v>0</v>
      </c>
      <c r="N551" s="7">
        <f t="shared" si="3"/>
        <v>0</v>
      </c>
      <c r="O551" s="7">
        <f t="shared" si="4"/>
        <v>0</v>
      </c>
      <c r="P551" s="7">
        <f t="shared" si="5"/>
        <v>0</v>
      </c>
      <c r="R551" s="15"/>
      <c r="S551" s="15"/>
      <c r="T551" s="9">
        <f t="shared" si="7"/>
        <v>0</v>
      </c>
      <c r="U551" s="10"/>
      <c r="V551" s="9"/>
      <c r="W551" s="10"/>
      <c r="X551" s="13"/>
      <c r="Y551" s="13"/>
    </row>
    <row r="552" ht="31.5" customHeight="1">
      <c r="D552" s="6" t="str">
        <f t="shared" si="1"/>
        <v/>
      </c>
      <c r="H552" s="7"/>
      <c r="K552" s="7">
        <f t="shared" si="2"/>
        <v>0</v>
      </c>
      <c r="N552" s="7">
        <f t="shared" si="3"/>
        <v>0</v>
      </c>
      <c r="O552" s="7">
        <f t="shared" si="4"/>
        <v>0</v>
      </c>
      <c r="P552" s="7">
        <f t="shared" si="5"/>
        <v>0</v>
      </c>
      <c r="R552" s="15"/>
      <c r="S552" s="15"/>
      <c r="T552" s="9">
        <f t="shared" si="7"/>
        <v>0</v>
      </c>
      <c r="U552" s="10"/>
      <c r="V552" s="9"/>
      <c r="W552" s="10"/>
      <c r="X552" s="13"/>
      <c r="Y552" s="13"/>
    </row>
    <row r="553" ht="31.5" customHeight="1">
      <c r="D553" s="6" t="str">
        <f t="shared" si="1"/>
        <v/>
      </c>
      <c r="H553" s="7"/>
      <c r="K553" s="7">
        <f t="shared" si="2"/>
        <v>0</v>
      </c>
      <c r="N553" s="7">
        <f t="shared" si="3"/>
        <v>0</v>
      </c>
      <c r="O553" s="7">
        <f t="shared" si="4"/>
        <v>0</v>
      </c>
      <c r="P553" s="7">
        <f t="shared" si="5"/>
        <v>0</v>
      </c>
      <c r="R553" s="15"/>
      <c r="S553" s="15"/>
      <c r="T553" s="9">
        <f t="shared" si="7"/>
        <v>0</v>
      </c>
      <c r="U553" s="10"/>
      <c r="V553" s="9"/>
      <c r="W553" s="10"/>
      <c r="X553" s="13"/>
      <c r="Y553" s="13"/>
    </row>
    <row r="554" ht="31.5" customHeight="1">
      <c r="D554" s="6" t="str">
        <f t="shared" si="1"/>
        <v/>
      </c>
      <c r="H554" s="7"/>
      <c r="K554" s="7">
        <f t="shared" si="2"/>
        <v>0</v>
      </c>
      <c r="N554" s="7">
        <f t="shared" si="3"/>
        <v>0</v>
      </c>
      <c r="O554" s="7">
        <f t="shared" si="4"/>
        <v>0</v>
      </c>
      <c r="P554" s="7">
        <f t="shared" si="5"/>
        <v>0</v>
      </c>
      <c r="R554" s="15"/>
      <c r="S554" s="15"/>
      <c r="T554" s="9">
        <f t="shared" si="7"/>
        <v>0</v>
      </c>
      <c r="U554" s="10"/>
      <c r="V554" s="9"/>
      <c r="W554" s="10"/>
      <c r="X554" s="13"/>
      <c r="Y554" s="13"/>
    </row>
    <row r="555" ht="31.5" customHeight="1">
      <c r="D555" s="6" t="str">
        <f t="shared" si="1"/>
        <v/>
      </c>
      <c r="H555" s="7"/>
      <c r="K555" s="7">
        <f t="shared" si="2"/>
        <v>0</v>
      </c>
      <c r="N555" s="7">
        <f t="shared" si="3"/>
        <v>0</v>
      </c>
      <c r="O555" s="7">
        <f t="shared" si="4"/>
        <v>0</v>
      </c>
      <c r="P555" s="7">
        <f t="shared" si="5"/>
        <v>0</v>
      </c>
      <c r="R555" s="15"/>
      <c r="S555" s="15"/>
      <c r="T555" s="9">
        <f t="shared" si="7"/>
        <v>0</v>
      </c>
      <c r="U555" s="10"/>
      <c r="V555" s="9"/>
      <c r="W555" s="10"/>
      <c r="X555" s="13"/>
      <c r="Y555" s="13"/>
    </row>
    <row r="556" ht="31.5" customHeight="1">
      <c r="D556" s="6" t="str">
        <f t="shared" si="1"/>
        <v/>
      </c>
      <c r="H556" s="7"/>
      <c r="K556" s="7">
        <f t="shared" si="2"/>
        <v>0</v>
      </c>
      <c r="N556" s="7">
        <f t="shared" si="3"/>
        <v>0</v>
      </c>
      <c r="O556" s="7">
        <f t="shared" si="4"/>
        <v>0</v>
      </c>
      <c r="P556" s="7">
        <f t="shared" si="5"/>
        <v>0</v>
      </c>
      <c r="R556" s="15"/>
      <c r="S556" s="15"/>
      <c r="T556" s="9">
        <f t="shared" si="7"/>
        <v>0</v>
      </c>
      <c r="U556" s="10"/>
      <c r="V556" s="9"/>
      <c r="W556" s="10"/>
      <c r="X556" s="13"/>
      <c r="Y556" s="13"/>
    </row>
    <row r="557" ht="31.5" customHeight="1">
      <c r="D557" s="6" t="str">
        <f t="shared" si="1"/>
        <v/>
      </c>
      <c r="H557" s="7"/>
      <c r="K557" s="7">
        <f t="shared" si="2"/>
        <v>0</v>
      </c>
      <c r="N557" s="7">
        <f t="shared" si="3"/>
        <v>0</v>
      </c>
      <c r="O557" s="7">
        <f t="shared" si="4"/>
        <v>0</v>
      </c>
      <c r="P557" s="7">
        <f t="shared" si="5"/>
        <v>0</v>
      </c>
      <c r="R557" s="15"/>
      <c r="S557" s="15"/>
      <c r="T557" s="9">
        <f t="shared" si="7"/>
        <v>0</v>
      </c>
      <c r="U557" s="10"/>
      <c r="V557" s="9"/>
      <c r="W557" s="10"/>
      <c r="X557" s="13"/>
      <c r="Y557" s="13"/>
    </row>
    <row r="558" ht="31.5" customHeight="1">
      <c r="D558" s="6" t="str">
        <f t="shared" si="1"/>
        <v/>
      </c>
      <c r="H558" s="7"/>
      <c r="K558" s="7">
        <f t="shared" si="2"/>
        <v>0</v>
      </c>
      <c r="N558" s="7">
        <f t="shared" si="3"/>
        <v>0</v>
      </c>
      <c r="O558" s="7">
        <f t="shared" si="4"/>
        <v>0</v>
      </c>
      <c r="P558" s="7">
        <f t="shared" si="5"/>
        <v>0</v>
      </c>
      <c r="R558" s="15"/>
      <c r="S558" s="15"/>
      <c r="T558" s="9">
        <f t="shared" si="7"/>
        <v>0</v>
      </c>
      <c r="U558" s="10"/>
      <c r="V558" s="9"/>
      <c r="W558" s="10"/>
      <c r="X558" s="13"/>
      <c r="Y558" s="13"/>
    </row>
    <row r="559" ht="31.5" customHeight="1">
      <c r="D559" s="6" t="str">
        <f t="shared" si="1"/>
        <v/>
      </c>
      <c r="H559" s="7"/>
      <c r="K559" s="7">
        <f t="shared" si="2"/>
        <v>0</v>
      </c>
      <c r="N559" s="7">
        <f t="shared" si="3"/>
        <v>0</v>
      </c>
      <c r="O559" s="7">
        <f t="shared" si="4"/>
        <v>0</v>
      </c>
      <c r="P559" s="7">
        <f t="shared" si="5"/>
        <v>0</v>
      </c>
      <c r="R559" s="15"/>
      <c r="S559" s="15"/>
      <c r="T559" s="9">
        <f t="shared" si="7"/>
        <v>0</v>
      </c>
      <c r="U559" s="10"/>
      <c r="V559" s="9"/>
      <c r="W559" s="10"/>
      <c r="X559" s="13"/>
      <c r="Y559" s="13"/>
    </row>
    <row r="560" ht="31.5" customHeight="1">
      <c r="D560" s="6" t="str">
        <f t="shared" si="1"/>
        <v/>
      </c>
      <c r="H560" s="7"/>
      <c r="K560" s="7">
        <f t="shared" si="2"/>
        <v>0</v>
      </c>
      <c r="N560" s="7">
        <f t="shared" si="3"/>
        <v>0</v>
      </c>
      <c r="O560" s="7">
        <f t="shared" si="4"/>
        <v>0</v>
      </c>
      <c r="P560" s="7">
        <f t="shared" si="5"/>
        <v>0</v>
      </c>
      <c r="R560" s="15"/>
      <c r="S560" s="15"/>
      <c r="T560" s="9">
        <f t="shared" si="7"/>
        <v>0</v>
      </c>
      <c r="U560" s="10"/>
      <c r="V560" s="9"/>
      <c r="W560" s="10"/>
      <c r="X560" s="13"/>
      <c r="Y560" s="13"/>
    </row>
    <row r="561" ht="31.5" customHeight="1">
      <c r="D561" s="6" t="str">
        <f t="shared" si="1"/>
        <v/>
      </c>
      <c r="H561" s="7"/>
      <c r="K561" s="7">
        <f t="shared" si="2"/>
        <v>0</v>
      </c>
      <c r="N561" s="7">
        <f t="shared" si="3"/>
        <v>0</v>
      </c>
      <c r="O561" s="7">
        <f t="shared" si="4"/>
        <v>0</v>
      </c>
      <c r="P561" s="7">
        <f t="shared" si="5"/>
        <v>0</v>
      </c>
      <c r="R561" s="15"/>
      <c r="S561" s="15"/>
      <c r="T561" s="9">
        <f t="shared" si="7"/>
        <v>0</v>
      </c>
      <c r="U561" s="10"/>
      <c r="V561" s="9"/>
      <c r="W561" s="10"/>
      <c r="X561" s="13"/>
      <c r="Y561" s="13"/>
    </row>
    <row r="562" ht="31.5" customHeight="1">
      <c r="D562" s="6" t="str">
        <f t="shared" si="1"/>
        <v/>
      </c>
      <c r="H562" s="7"/>
      <c r="K562" s="7">
        <f t="shared" si="2"/>
        <v>0</v>
      </c>
      <c r="N562" s="7">
        <f t="shared" si="3"/>
        <v>0</v>
      </c>
      <c r="O562" s="7">
        <f t="shared" si="4"/>
        <v>0</v>
      </c>
      <c r="P562" s="7">
        <f t="shared" si="5"/>
        <v>0</v>
      </c>
      <c r="R562" s="15"/>
      <c r="S562" s="15"/>
      <c r="T562" s="9">
        <f t="shared" si="7"/>
        <v>0</v>
      </c>
      <c r="U562" s="10"/>
      <c r="V562" s="9"/>
      <c r="W562" s="10"/>
      <c r="X562" s="13"/>
      <c r="Y562" s="13"/>
    </row>
    <row r="563" ht="31.5" customHeight="1">
      <c r="D563" s="6" t="str">
        <f t="shared" si="1"/>
        <v/>
      </c>
      <c r="H563" s="7"/>
      <c r="K563" s="7">
        <f t="shared" si="2"/>
        <v>0</v>
      </c>
      <c r="N563" s="7">
        <f t="shared" si="3"/>
        <v>0</v>
      </c>
      <c r="O563" s="7">
        <f t="shared" si="4"/>
        <v>0</v>
      </c>
      <c r="P563" s="7">
        <f t="shared" si="5"/>
        <v>0</v>
      </c>
      <c r="R563" s="15"/>
      <c r="S563" s="15"/>
      <c r="T563" s="9">
        <f t="shared" si="7"/>
        <v>0</v>
      </c>
      <c r="U563" s="10"/>
      <c r="V563" s="9"/>
      <c r="W563" s="10"/>
      <c r="X563" s="13"/>
      <c r="Y563" s="13"/>
    </row>
    <row r="564" ht="31.5" customHeight="1">
      <c r="D564" s="6" t="str">
        <f t="shared" si="1"/>
        <v/>
      </c>
      <c r="H564" s="7"/>
      <c r="K564" s="7">
        <f t="shared" si="2"/>
        <v>0</v>
      </c>
      <c r="N564" s="7">
        <f t="shared" si="3"/>
        <v>0</v>
      </c>
      <c r="O564" s="7">
        <f t="shared" si="4"/>
        <v>0</v>
      </c>
      <c r="P564" s="7">
        <f t="shared" si="5"/>
        <v>0</v>
      </c>
      <c r="R564" s="15"/>
      <c r="S564" s="15"/>
      <c r="T564" s="9">
        <f t="shared" si="7"/>
        <v>0</v>
      </c>
      <c r="U564" s="10"/>
      <c r="V564" s="9"/>
      <c r="W564" s="10"/>
      <c r="X564" s="13"/>
      <c r="Y564" s="13"/>
    </row>
    <row r="565" ht="31.5" customHeight="1">
      <c r="D565" s="6" t="str">
        <f t="shared" si="1"/>
        <v/>
      </c>
      <c r="H565" s="7"/>
      <c r="K565" s="7">
        <f t="shared" si="2"/>
        <v>0</v>
      </c>
      <c r="N565" s="7">
        <f t="shared" si="3"/>
        <v>0</v>
      </c>
      <c r="O565" s="7">
        <f t="shared" si="4"/>
        <v>0</v>
      </c>
      <c r="P565" s="7">
        <f t="shared" si="5"/>
        <v>0</v>
      </c>
      <c r="R565" s="15"/>
      <c r="S565" s="15"/>
      <c r="T565" s="9">
        <f t="shared" si="7"/>
        <v>0</v>
      </c>
      <c r="U565" s="10"/>
      <c r="V565" s="9"/>
      <c r="W565" s="10"/>
      <c r="X565" s="13"/>
      <c r="Y565" s="13"/>
    </row>
    <row r="566" ht="31.5" customHeight="1">
      <c r="D566" s="6" t="str">
        <f t="shared" si="1"/>
        <v/>
      </c>
      <c r="H566" s="7"/>
      <c r="K566" s="7">
        <f t="shared" si="2"/>
        <v>0</v>
      </c>
      <c r="N566" s="7">
        <f t="shared" si="3"/>
        <v>0</v>
      </c>
      <c r="O566" s="7">
        <f t="shared" si="4"/>
        <v>0</v>
      </c>
      <c r="P566" s="7">
        <f t="shared" si="5"/>
        <v>0</v>
      </c>
      <c r="R566" s="15"/>
      <c r="S566" s="15"/>
      <c r="T566" s="9">
        <f t="shared" si="7"/>
        <v>0</v>
      </c>
      <c r="U566" s="10"/>
      <c r="V566" s="9"/>
      <c r="W566" s="10"/>
      <c r="X566" s="13"/>
      <c r="Y566" s="13"/>
    </row>
    <row r="567" ht="31.5" customHeight="1">
      <c r="D567" s="6" t="str">
        <f t="shared" si="1"/>
        <v/>
      </c>
      <c r="H567" s="7"/>
      <c r="K567" s="7">
        <f t="shared" si="2"/>
        <v>0</v>
      </c>
      <c r="N567" s="7">
        <f t="shared" si="3"/>
        <v>0</v>
      </c>
      <c r="O567" s="7">
        <f t="shared" si="4"/>
        <v>0</v>
      </c>
      <c r="P567" s="7">
        <f t="shared" si="5"/>
        <v>0</v>
      </c>
      <c r="R567" s="15"/>
      <c r="S567" s="15"/>
      <c r="T567" s="9">
        <f t="shared" si="7"/>
        <v>0</v>
      </c>
      <c r="U567" s="10"/>
      <c r="V567" s="9"/>
      <c r="W567" s="10"/>
      <c r="X567" s="13"/>
      <c r="Y567" s="13"/>
    </row>
    <row r="568" ht="31.5" customHeight="1">
      <c r="D568" s="6" t="str">
        <f t="shared" si="1"/>
        <v/>
      </c>
      <c r="H568" s="7"/>
      <c r="K568" s="7">
        <f t="shared" si="2"/>
        <v>0</v>
      </c>
      <c r="N568" s="7">
        <f t="shared" si="3"/>
        <v>0</v>
      </c>
      <c r="O568" s="7">
        <f t="shared" si="4"/>
        <v>0</v>
      </c>
      <c r="P568" s="7">
        <f t="shared" si="5"/>
        <v>0</v>
      </c>
      <c r="R568" s="15"/>
      <c r="S568" s="15"/>
      <c r="T568" s="9">
        <f t="shared" si="7"/>
        <v>0</v>
      </c>
      <c r="U568" s="10"/>
      <c r="V568" s="9"/>
      <c r="W568" s="10"/>
      <c r="X568" s="13"/>
      <c r="Y568" s="13"/>
    </row>
    <row r="569" ht="31.5" customHeight="1">
      <c r="D569" s="6" t="str">
        <f t="shared" si="1"/>
        <v/>
      </c>
      <c r="H569" s="7"/>
      <c r="K569" s="7">
        <f t="shared" si="2"/>
        <v>0</v>
      </c>
      <c r="N569" s="7">
        <f t="shared" si="3"/>
        <v>0</v>
      </c>
      <c r="O569" s="7">
        <f t="shared" si="4"/>
        <v>0</v>
      </c>
      <c r="P569" s="7">
        <f t="shared" si="5"/>
        <v>0</v>
      </c>
      <c r="R569" s="15"/>
      <c r="S569" s="15"/>
      <c r="T569" s="9">
        <f t="shared" si="7"/>
        <v>0</v>
      </c>
      <c r="U569" s="10"/>
      <c r="V569" s="9"/>
      <c r="W569" s="10"/>
      <c r="X569" s="13"/>
      <c r="Y569" s="13"/>
    </row>
    <row r="570" ht="31.5" customHeight="1">
      <c r="D570" s="6" t="str">
        <f t="shared" si="1"/>
        <v/>
      </c>
      <c r="H570" s="7"/>
      <c r="K570" s="7">
        <f t="shared" si="2"/>
        <v>0</v>
      </c>
      <c r="N570" s="7">
        <f t="shared" si="3"/>
        <v>0</v>
      </c>
      <c r="O570" s="7">
        <f t="shared" si="4"/>
        <v>0</v>
      </c>
      <c r="P570" s="7">
        <f t="shared" si="5"/>
        <v>0</v>
      </c>
      <c r="R570" s="15"/>
      <c r="S570" s="15"/>
      <c r="T570" s="9">
        <f t="shared" si="7"/>
        <v>0</v>
      </c>
      <c r="U570" s="10"/>
      <c r="V570" s="9"/>
      <c r="W570" s="10"/>
      <c r="X570" s="13"/>
      <c r="Y570" s="13"/>
    </row>
    <row r="571" ht="31.5" customHeight="1">
      <c r="D571" s="6" t="str">
        <f t="shared" si="1"/>
        <v/>
      </c>
      <c r="H571" s="7"/>
      <c r="K571" s="7">
        <f t="shared" si="2"/>
        <v>0</v>
      </c>
      <c r="N571" s="7">
        <f t="shared" si="3"/>
        <v>0</v>
      </c>
      <c r="O571" s="7">
        <f t="shared" si="4"/>
        <v>0</v>
      </c>
      <c r="P571" s="7">
        <f t="shared" si="5"/>
        <v>0</v>
      </c>
      <c r="R571" s="15"/>
      <c r="S571" s="15"/>
      <c r="T571" s="9">
        <f t="shared" si="7"/>
        <v>0</v>
      </c>
      <c r="U571" s="10"/>
      <c r="V571" s="9"/>
      <c r="W571" s="10"/>
      <c r="X571" s="13"/>
      <c r="Y571" s="13"/>
    </row>
    <row r="572" ht="31.5" customHeight="1">
      <c r="D572" s="6" t="str">
        <f t="shared" si="1"/>
        <v/>
      </c>
      <c r="H572" s="7"/>
      <c r="K572" s="7">
        <f t="shared" si="2"/>
        <v>0</v>
      </c>
      <c r="N572" s="7">
        <f t="shared" si="3"/>
        <v>0</v>
      </c>
      <c r="O572" s="7">
        <f t="shared" si="4"/>
        <v>0</v>
      </c>
      <c r="P572" s="7">
        <f t="shared" si="5"/>
        <v>0</v>
      </c>
      <c r="R572" s="15"/>
      <c r="S572" s="15"/>
      <c r="T572" s="9">
        <f t="shared" si="7"/>
        <v>0</v>
      </c>
      <c r="U572" s="10"/>
      <c r="V572" s="9"/>
      <c r="W572" s="10"/>
      <c r="X572" s="13"/>
      <c r="Y572" s="13"/>
    </row>
    <row r="573" ht="31.5" customHeight="1">
      <c r="D573" s="6" t="str">
        <f t="shared" si="1"/>
        <v/>
      </c>
      <c r="H573" s="7"/>
      <c r="K573" s="7">
        <f t="shared" si="2"/>
        <v>0</v>
      </c>
      <c r="N573" s="7">
        <f t="shared" si="3"/>
        <v>0</v>
      </c>
      <c r="O573" s="7">
        <f t="shared" si="4"/>
        <v>0</v>
      </c>
      <c r="P573" s="7">
        <f t="shared" si="5"/>
        <v>0</v>
      </c>
      <c r="R573" s="15"/>
      <c r="S573" s="15"/>
      <c r="T573" s="9">
        <f t="shared" si="7"/>
        <v>0</v>
      </c>
      <c r="U573" s="10"/>
      <c r="V573" s="9"/>
      <c r="W573" s="10"/>
      <c r="X573" s="13"/>
      <c r="Y573" s="13"/>
    </row>
    <row r="574" ht="31.5" customHeight="1">
      <c r="D574" s="6" t="str">
        <f t="shared" si="1"/>
        <v/>
      </c>
      <c r="H574" s="7"/>
      <c r="K574" s="7">
        <f t="shared" si="2"/>
        <v>0</v>
      </c>
      <c r="N574" s="7">
        <f t="shared" si="3"/>
        <v>0</v>
      </c>
      <c r="O574" s="7">
        <f t="shared" si="4"/>
        <v>0</v>
      </c>
      <c r="P574" s="7">
        <f t="shared" si="5"/>
        <v>0</v>
      </c>
      <c r="R574" s="15"/>
      <c r="S574" s="15"/>
      <c r="T574" s="9">
        <f t="shared" si="7"/>
        <v>0</v>
      </c>
      <c r="U574" s="10"/>
      <c r="V574" s="9"/>
      <c r="W574" s="10"/>
      <c r="X574" s="13"/>
      <c r="Y574" s="13"/>
    </row>
    <row r="575" ht="31.5" customHeight="1">
      <c r="D575" s="6" t="str">
        <f t="shared" si="1"/>
        <v/>
      </c>
      <c r="H575" s="7"/>
      <c r="K575" s="7">
        <f t="shared" si="2"/>
        <v>0</v>
      </c>
      <c r="N575" s="7">
        <f t="shared" si="3"/>
        <v>0</v>
      </c>
      <c r="O575" s="7">
        <f t="shared" si="4"/>
        <v>0</v>
      </c>
      <c r="P575" s="7">
        <f t="shared" si="5"/>
        <v>0</v>
      </c>
      <c r="R575" s="15"/>
      <c r="S575" s="15"/>
      <c r="T575" s="9">
        <f t="shared" si="7"/>
        <v>0</v>
      </c>
      <c r="U575" s="10"/>
      <c r="V575" s="9"/>
      <c r="W575" s="10"/>
      <c r="X575" s="13"/>
      <c r="Y575" s="13"/>
    </row>
    <row r="576" ht="31.5" customHeight="1">
      <c r="D576" s="6" t="str">
        <f t="shared" si="1"/>
        <v/>
      </c>
      <c r="H576" s="7"/>
      <c r="K576" s="7">
        <f t="shared" si="2"/>
        <v>0</v>
      </c>
      <c r="N576" s="7">
        <f t="shared" si="3"/>
        <v>0</v>
      </c>
      <c r="O576" s="7">
        <f t="shared" si="4"/>
        <v>0</v>
      </c>
      <c r="P576" s="7">
        <f t="shared" si="5"/>
        <v>0</v>
      </c>
      <c r="R576" s="15"/>
      <c r="S576" s="15"/>
      <c r="T576" s="9">
        <f t="shared" si="7"/>
        <v>0</v>
      </c>
      <c r="U576" s="10"/>
      <c r="V576" s="9"/>
      <c r="W576" s="10"/>
      <c r="X576" s="13"/>
      <c r="Y576" s="13"/>
    </row>
    <row r="577" ht="31.5" customHeight="1">
      <c r="D577" s="6" t="str">
        <f t="shared" si="1"/>
        <v/>
      </c>
      <c r="H577" s="7"/>
      <c r="K577" s="7">
        <f t="shared" si="2"/>
        <v>0</v>
      </c>
      <c r="N577" s="7">
        <f t="shared" si="3"/>
        <v>0</v>
      </c>
      <c r="O577" s="7">
        <f t="shared" si="4"/>
        <v>0</v>
      </c>
      <c r="P577" s="7">
        <f t="shared" si="5"/>
        <v>0</v>
      </c>
      <c r="R577" s="15"/>
      <c r="S577" s="15"/>
      <c r="T577" s="9">
        <f t="shared" si="7"/>
        <v>0</v>
      </c>
      <c r="U577" s="10"/>
      <c r="V577" s="9"/>
      <c r="W577" s="10"/>
      <c r="X577" s="13"/>
      <c r="Y577" s="13"/>
    </row>
    <row r="578" ht="31.5" customHeight="1">
      <c r="D578" s="6" t="str">
        <f t="shared" si="1"/>
        <v/>
      </c>
      <c r="H578" s="7"/>
      <c r="K578" s="7">
        <f t="shared" si="2"/>
        <v>0</v>
      </c>
      <c r="N578" s="7">
        <f t="shared" si="3"/>
        <v>0</v>
      </c>
      <c r="O578" s="7">
        <f t="shared" si="4"/>
        <v>0</v>
      </c>
      <c r="P578" s="7">
        <f t="shared" si="5"/>
        <v>0</v>
      </c>
      <c r="R578" s="15"/>
      <c r="S578" s="15"/>
      <c r="T578" s="9">
        <f t="shared" si="7"/>
        <v>0</v>
      </c>
      <c r="U578" s="10"/>
      <c r="V578" s="9"/>
      <c r="W578" s="10"/>
      <c r="X578" s="13"/>
      <c r="Y578" s="13"/>
    </row>
    <row r="579" ht="31.5" customHeight="1">
      <c r="D579" s="6" t="str">
        <f t="shared" si="1"/>
        <v/>
      </c>
      <c r="H579" s="7"/>
      <c r="K579" s="7">
        <f t="shared" si="2"/>
        <v>0</v>
      </c>
      <c r="N579" s="7">
        <f t="shared" si="3"/>
        <v>0</v>
      </c>
      <c r="O579" s="7">
        <f t="shared" si="4"/>
        <v>0</v>
      </c>
      <c r="P579" s="7">
        <f t="shared" si="5"/>
        <v>0</v>
      </c>
      <c r="R579" s="15"/>
      <c r="S579" s="15"/>
      <c r="T579" s="9">
        <f t="shared" si="7"/>
        <v>0</v>
      </c>
      <c r="U579" s="10"/>
      <c r="V579" s="9"/>
      <c r="W579" s="10"/>
      <c r="X579" s="13"/>
      <c r="Y579" s="13"/>
    </row>
    <row r="580" ht="31.5" customHeight="1">
      <c r="D580" s="6" t="str">
        <f t="shared" si="1"/>
        <v/>
      </c>
      <c r="H580" s="7"/>
      <c r="K580" s="7">
        <f t="shared" si="2"/>
        <v>0</v>
      </c>
      <c r="N580" s="7">
        <f t="shared" si="3"/>
        <v>0</v>
      </c>
      <c r="O580" s="7">
        <f t="shared" si="4"/>
        <v>0</v>
      </c>
      <c r="P580" s="7">
        <f t="shared" si="5"/>
        <v>0</v>
      </c>
      <c r="R580" s="15"/>
      <c r="S580" s="15"/>
      <c r="T580" s="9">
        <f t="shared" si="7"/>
        <v>0</v>
      </c>
      <c r="U580" s="10"/>
      <c r="V580" s="9"/>
      <c r="W580" s="10"/>
      <c r="X580" s="13"/>
      <c r="Y580" s="13"/>
    </row>
    <row r="581" ht="31.5" customHeight="1">
      <c r="D581" s="6" t="str">
        <f t="shared" si="1"/>
        <v/>
      </c>
      <c r="H581" s="7"/>
      <c r="K581" s="7">
        <f t="shared" si="2"/>
        <v>0</v>
      </c>
      <c r="N581" s="7">
        <f t="shared" si="3"/>
        <v>0</v>
      </c>
      <c r="O581" s="7">
        <f t="shared" si="4"/>
        <v>0</v>
      </c>
      <c r="P581" s="7">
        <f t="shared" si="5"/>
        <v>0</v>
      </c>
      <c r="R581" s="15"/>
      <c r="S581" s="15"/>
      <c r="T581" s="9">
        <f t="shared" si="7"/>
        <v>0</v>
      </c>
      <c r="U581" s="10"/>
      <c r="V581" s="9"/>
      <c r="W581" s="10"/>
      <c r="X581" s="13"/>
      <c r="Y581" s="13"/>
    </row>
    <row r="582" ht="31.5" customHeight="1">
      <c r="D582" s="6" t="str">
        <f t="shared" si="1"/>
        <v/>
      </c>
      <c r="H582" s="7"/>
      <c r="K582" s="7">
        <f t="shared" si="2"/>
        <v>0</v>
      </c>
      <c r="N582" s="7">
        <f t="shared" si="3"/>
        <v>0</v>
      </c>
      <c r="O582" s="7">
        <f t="shared" si="4"/>
        <v>0</v>
      </c>
      <c r="P582" s="7">
        <f t="shared" si="5"/>
        <v>0</v>
      </c>
      <c r="R582" s="15"/>
      <c r="S582" s="15"/>
      <c r="T582" s="9">
        <f t="shared" si="7"/>
        <v>0</v>
      </c>
      <c r="U582" s="10"/>
      <c r="V582" s="9"/>
      <c r="W582" s="10"/>
      <c r="X582" s="13"/>
      <c r="Y582" s="13"/>
    </row>
    <row r="583" ht="31.5" customHeight="1">
      <c r="D583" s="6" t="str">
        <f t="shared" si="1"/>
        <v/>
      </c>
      <c r="H583" s="7"/>
      <c r="K583" s="7">
        <f t="shared" si="2"/>
        <v>0</v>
      </c>
      <c r="N583" s="7">
        <f t="shared" si="3"/>
        <v>0</v>
      </c>
      <c r="O583" s="7">
        <f t="shared" si="4"/>
        <v>0</v>
      </c>
      <c r="P583" s="7">
        <f t="shared" si="5"/>
        <v>0</v>
      </c>
      <c r="R583" s="15"/>
      <c r="S583" s="15"/>
      <c r="T583" s="9">
        <f t="shared" si="7"/>
        <v>0</v>
      </c>
      <c r="U583" s="10"/>
      <c r="V583" s="9"/>
      <c r="W583" s="10"/>
      <c r="X583" s="13"/>
      <c r="Y583" s="13"/>
    </row>
    <row r="584" ht="31.5" customHeight="1">
      <c r="D584" s="6" t="str">
        <f t="shared" si="1"/>
        <v/>
      </c>
      <c r="H584" s="7"/>
      <c r="K584" s="7">
        <f t="shared" si="2"/>
        <v>0</v>
      </c>
      <c r="N584" s="7">
        <f t="shared" si="3"/>
        <v>0</v>
      </c>
      <c r="O584" s="7">
        <f t="shared" si="4"/>
        <v>0</v>
      </c>
      <c r="P584" s="7">
        <f t="shared" si="5"/>
        <v>0</v>
      </c>
      <c r="R584" s="15"/>
      <c r="S584" s="15"/>
      <c r="T584" s="9">
        <f t="shared" si="7"/>
        <v>0</v>
      </c>
      <c r="U584" s="10"/>
      <c r="V584" s="9"/>
      <c r="W584" s="10"/>
      <c r="X584" s="13"/>
      <c r="Y584" s="13"/>
    </row>
    <row r="585" ht="31.5" customHeight="1">
      <c r="D585" s="6" t="str">
        <f t="shared" si="1"/>
        <v/>
      </c>
      <c r="H585" s="7"/>
      <c r="K585" s="7">
        <f t="shared" si="2"/>
        <v>0</v>
      </c>
      <c r="N585" s="7">
        <f t="shared" si="3"/>
        <v>0</v>
      </c>
      <c r="O585" s="7">
        <f t="shared" si="4"/>
        <v>0</v>
      </c>
      <c r="P585" s="7">
        <f t="shared" si="5"/>
        <v>0</v>
      </c>
      <c r="R585" s="15"/>
      <c r="S585" s="15"/>
      <c r="T585" s="9">
        <f t="shared" si="7"/>
        <v>0</v>
      </c>
      <c r="U585" s="10"/>
      <c r="V585" s="9"/>
      <c r="W585" s="10"/>
      <c r="X585" s="13"/>
      <c r="Y585" s="13"/>
    </row>
    <row r="586" ht="31.5" customHeight="1">
      <c r="D586" s="6" t="str">
        <f t="shared" si="1"/>
        <v/>
      </c>
      <c r="H586" s="7"/>
      <c r="K586" s="7">
        <f t="shared" si="2"/>
        <v>0</v>
      </c>
      <c r="N586" s="7">
        <f t="shared" si="3"/>
        <v>0</v>
      </c>
      <c r="O586" s="7">
        <f t="shared" si="4"/>
        <v>0</v>
      </c>
      <c r="P586" s="7">
        <f t="shared" si="5"/>
        <v>0</v>
      </c>
      <c r="R586" s="15"/>
      <c r="S586" s="15"/>
      <c r="T586" s="9">
        <f t="shared" si="7"/>
        <v>0</v>
      </c>
      <c r="U586" s="10"/>
      <c r="V586" s="9"/>
      <c r="W586" s="10"/>
      <c r="X586" s="13"/>
      <c r="Y586" s="13"/>
    </row>
    <row r="587" ht="31.5" customHeight="1">
      <c r="D587" s="6" t="str">
        <f t="shared" si="1"/>
        <v/>
      </c>
      <c r="H587" s="7"/>
      <c r="K587" s="7">
        <f t="shared" si="2"/>
        <v>0</v>
      </c>
      <c r="N587" s="7">
        <f t="shared" si="3"/>
        <v>0</v>
      </c>
      <c r="O587" s="7">
        <f t="shared" si="4"/>
        <v>0</v>
      </c>
      <c r="P587" s="7">
        <f t="shared" si="5"/>
        <v>0</v>
      </c>
      <c r="R587" s="15"/>
      <c r="S587" s="15"/>
      <c r="T587" s="9">
        <f t="shared" si="7"/>
        <v>0</v>
      </c>
      <c r="U587" s="10"/>
      <c r="V587" s="9"/>
      <c r="W587" s="10"/>
      <c r="X587" s="13"/>
      <c r="Y587" s="13"/>
    </row>
    <row r="588" ht="31.5" customHeight="1">
      <c r="D588" s="6" t="str">
        <f t="shared" si="1"/>
        <v/>
      </c>
      <c r="H588" s="7"/>
      <c r="K588" s="7">
        <f t="shared" si="2"/>
        <v>0</v>
      </c>
      <c r="N588" s="7">
        <f t="shared" si="3"/>
        <v>0</v>
      </c>
      <c r="O588" s="7">
        <f t="shared" si="4"/>
        <v>0</v>
      </c>
      <c r="P588" s="7">
        <f t="shared" si="5"/>
        <v>0</v>
      </c>
      <c r="R588" s="15"/>
      <c r="S588" s="15"/>
      <c r="T588" s="9">
        <f t="shared" si="7"/>
        <v>0</v>
      </c>
      <c r="U588" s="10"/>
      <c r="V588" s="9"/>
      <c r="W588" s="10"/>
      <c r="X588" s="13"/>
      <c r="Y588" s="13"/>
    </row>
    <row r="589" ht="31.5" customHeight="1">
      <c r="D589" s="6" t="str">
        <f t="shared" si="1"/>
        <v/>
      </c>
      <c r="H589" s="7"/>
      <c r="K589" s="7">
        <f t="shared" si="2"/>
        <v>0</v>
      </c>
      <c r="N589" s="7">
        <f t="shared" si="3"/>
        <v>0</v>
      </c>
      <c r="O589" s="7">
        <f t="shared" si="4"/>
        <v>0</v>
      </c>
      <c r="P589" s="7">
        <f t="shared" si="5"/>
        <v>0</v>
      </c>
      <c r="R589" s="15"/>
      <c r="S589" s="15"/>
      <c r="T589" s="9">
        <f t="shared" si="7"/>
        <v>0</v>
      </c>
      <c r="U589" s="10"/>
      <c r="V589" s="9"/>
      <c r="W589" s="10"/>
      <c r="X589" s="13"/>
      <c r="Y589" s="13"/>
    </row>
    <row r="590" ht="31.5" customHeight="1">
      <c r="D590" s="6" t="str">
        <f t="shared" si="1"/>
        <v/>
      </c>
      <c r="H590" s="7"/>
      <c r="K590" s="7">
        <f t="shared" si="2"/>
        <v>0</v>
      </c>
      <c r="N590" s="7">
        <f t="shared" si="3"/>
        <v>0</v>
      </c>
      <c r="O590" s="7">
        <f t="shared" si="4"/>
        <v>0</v>
      </c>
      <c r="P590" s="7">
        <f t="shared" si="5"/>
        <v>0</v>
      </c>
      <c r="R590" s="15"/>
      <c r="S590" s="15"/>
      <c r="T590" s="9">
        <f t="shared" si="7"/>
        <v>0</v>
      </c>
      <c r="U590" s="10"/>
      <c r="V590" s="9"/>
      <c r="W590" s="10"/>
      <c r="X590" s="13"/>
      <c r="Y590" s="13"/>
    </row>
    <row r="591" ht="31.5" customHeight="1">
      <c r="D591" s="6" t="str">
        <f t="shared" si="1"/>
        <v/>
      </c>
      <c r="H591" s="7"/>
      <c r="K591" s="7">
        <f t="shared" si="2"/>
        <v>0</v>
      </c>
      <c r="N591" s="7">
        <f t="shared" si="3"/>
        <v>0</v>
      </c>
      <c r="O591" s="7">
        <f t="shared" si="4"/>
        <v>0</v>
      </c>
      <c r="P591" s="7">
        <f t="shared" si="5"/>
        <v>0</v>
      </c>
      <c r="R591" s="15"/>
      <c r="S591" s="15"/>
      <c r="T591" s="9">
        <f t="shared" si="7"/>
        <v>0</v>
      </c>
      <c r="U591" s="10"/>
      <c r="V591" s="9"/>
      <c r="W591" s="10"/>
      <c r="X591" s="13"/>
      <c r="Y591" s="13"/>
    </row>
    <row r="592" ht="31.5" customHeight="1">
      <c r="D592" s="6" t="str">
        <f t="shared" si="1"/>
        <v/>
      </c>
      <c r="H592" s="7"/>
      <c r="K592" s="7">
        <f t="shared" si="2"/>
        <v>0</v>
      </c>
      <c r="N592" s="7">
        <f t="shared" si="3"/>
        <v>0</v>
      </c>
      <c r="O592" s="7">
        <f t="shared" si="4"/>
        <v>0</v>
      </c>
      <c r="P592" s="7">
        <f t="shared" si="5"/>
        <v>0</v>
      </c>
      <c r="R592" s="15"/>
      <c r="S592" s="15"/>
      <c r="T592" s="9">
        <f t="shared" si="7"/>
        <v>0</v>
      </c>
      <c r="U592" s="10"/>
      <c r="V592" s="9"/>
      <c r="W592" s="10"/>
      <c r="X592" s="13"/>
      <c r="Y592" s="13"/>
    </row>
    <row r="593" ht="31.5" customHeight="1">
      <c r="D593" s="6" t="str">
        <f t="shared" si="1"/>
        <v/>
      </c>
      <c r="H593" s="7"/>
      <c r="K593" s="7">
        <f t="shared" si="2"/>
        <v>0</v>
      </c>
      <c r="N593" s="7">
        <f t="shared" si="3"/>
        <v>0</v>
      </c>
      <c r="O593" s="7">
        <f t="shared" si="4"/>
        <v>0</v>
      </c>
      <c r="P593" s="7">
        <f t="shared" si="5"/>
        <v>0</v>
      </c>
      <c r="R593" s="15"/>
      <c r="S593" s="15"/>
      <c r="T593" s="9">
        <f t="shared" si="7"/>
        <v>0</v>
      </c>
      <c r="U593" s="10"/>
      <c r="V593" s="9"/>
      <c r="W593" s="10"/>
      <c r="X593" s="13"/>
      <c r="Y593" s="13"/>
    </row>
    <row r="594" ht="31.5" customHeight="1">
      <c r="D594" s="6" t="str">
        <f t="shared" si="1"/>
        <v/>
      </c>
      <c r="H594" s="7"/>
      <c r="K594" s="7">
        <f t="shared" si="2"/>
        <v>0</v>
      </c>
      <c r="N594" s="7">
        <f t="shared" si="3"/>
        <v>0</v>
      </c>
      <c r="O594" s="7">
        <f t="shared" si="4"/>
        <v>0</v>
      </c>
      <c r="P594" s="7">
        <f t="shared" si="5"/>
        <v>0</v>
      </c>
      <c r="R594" s="15"/>
      <c r="S594" s="15"/>
      <c r="T594" s="9">
        <f t="shared" si="7"/>
        <v>0</v>
      </c>
      <c r="U594" s="10"/>
      <c r="V594" s="9"/>
      <c r="W594" s="10"/>
      <c r="X594" s="13"/>
      <c r="Y594" s="13"/>
    </row>
    <row r="595" ht="31.5" customHeight="1">
      <c r="D595" s="6" t="str">
        <f t="shared" si="1"/>
        <v/>
      </c>
      <c r="H595" s="7"/>
      <c r="K595" s="7">
        <f t="shared" si="2"/>
        <v>0</v>
      </c>
      <c r="N595" s="7">
        <f t="shared" si="3"/>
        <v>0</v>
      </c>
      <c r="O595" s="7">
        <f t="shared" si="4"/>
        <v>0</v>
      </c>
      <c r="P595" s="7">
        <f t="shared" si="5"/>
        <v>0</v>
      </c>
      <c r="R595" s="15"/>
      <c r="S595" s="15"/>
      <c r="T595" s="9">
        <f t="shared" si="7"/>
        <v>0</v>
      </c>
      <c r="U595" s="10"/>
      <c r="V595" s="9"/>
      <c r="W595" s="10"/>
      <c r="X595" s="13"/>
      <c r="Y595" s="13"/>
    </row>
    <row r="596" ht="31.5" customHeight="1">
      <c r="D596" s="6" t="str">
        <f t="shared" si="1"/>
        <v/>
      </c>
      <c r="H596" s="7"/>
      <c r="K596" s="7">
        <f t="shared" si="2"/>
        <v>0</v>
      </c>
      <c r="N596" s="7">
        <f t="shared" si="3"/>
        <v>0</v>
      </c>
      <c r="O596" s="7">
        <f t="shared" si="4"/>
        <v>0</v>
      </c>
      <c r="P596" s="7">
        <f t="shared" si="5"/>
        <v>0</v>
      </c>
      <c r="R596" s="15"/>
      <c r="S596" s="15"/>
      <c r="T596" s="9">
        <f t="shared" si="7"/>
        <v>0</v>
      </c>
      <c r="U596" s="10"/>
      <c r="V596" s="9"/>
      <c r="W596" s="10"/>
      <c r="X596" s="13"/>
      <c r="Y596" s="13"/>
    </row>
    <row r="597" ht="31.5" customHeight="1">
      <c r="D597" s="6" t="str">
        <f t="shared" si="1"/>
        <v/>
      </c>
      <c r="H597" s="7"/>
      <c r="K597" s="7">
        <f t="shared" si="2"/>
        <v>0</v>
      </c>
      <c r="N597" s="7">
        <f t="shared" si="3"/>
        <v>0</v>
      </c>
      <c r="O597" s="7">
        <f t="shared" si="4"/>
        <v>0</v>
      </c>
      <c r="P597" s="7">
        <f t="shared" si="5"/>
        <v>0</v>
      </c>
      <c r="R597" s="15"/>
      <c r="S597" s="15"/>
      <c r="T597" s="9">
        <f t="shared" si="7"/>
        <v>0</v>
      </c>
      <c r="U597" s="10"/>
      <c r="V597" s="9"/>
      <c r="W597" s="10"/>
      <c r="X597" s="13"/>
      <c r="Y597" s="13"/>
    </row>
    <row r="598" ht="31.5" customHeight="1">
      <c r="D598" s="6" t="str">
        <f t="shared" si="1"/>
        <v/>
      </c>
      <c r="H598" s="7"/>
      <c r="K598" s="7">
        <f t="shared" si="2"/>
        <v>0</v>
      </c>
      <c r="N598" s="7">
        <f t="shared" si="3"/>
        <v>0</v>
      </c>
      <c r="O598" s="7">
        <f t="shared" si="4"/>
        <v>0</v>
      </c>
      <c r="P598" s="7">
        <f t="shared" si="5"/>
        <v>0</v>
      </c>
      <c r="R598" s="15"/>
      <c r="S598" s="15"/>
      <c r="T598" s="9">
        <f t="shared" si="7"/>
        <v>0</v>
      </c>
      <c r="U598" s="10"/>
      <c r="V598" s="9"/>
      <c r="W598" s="10"/>
      <c r="X598" s="13"/>
      <c r="Y598" s="13"/>
    </row>
    <row r="599" ht="31.5" customHeight="1">
      <c r="D599" s="6" t="str">
        <f t="shared" si="1"/>
        <v/>
      </c>
      <c r="H599" s="7"/>
      <c r="K599" s="7">
        <f t="shared" si="2"/>
        <v>0</v>
      </c>
      <c r="N599" s="7">
        <f t="shared" si="3"/>
        <v>0</v>
      </c>
      <c r="O599" s="7">
        <f t="shared" si="4"/>
        <v>0</v>
      </c>
      <c r="P599" s="7">
        <f t="shared" si="5"/>
        <v>0</v>
      </c>
      <c r="R599" s="15"/>
      <c r="S599" s="15"/>
      <c r="T599" s="9">
        <f t="shared" si="7"/>
        <v>0</v>
      </c>
      <c r="U599" s="10"/>
      <c r="V599" s="9"/>
      <c r="W599" s="10"/>
      <c r="X599" s="13"/>
      <c r="Y599" s="13"/>
    </row>
    <row r="600" ht="31.5" customHeight="1">
      <c r="D600" s="6" t="str">
        <f t="shared" si="1"/>
        <v/>
      </c>
      <c r="H600" s="7"/>
      <c r="K600" s="7">
        <f t="shared" si="2"/>
        <v>0</v>
      </c>
      <c r="N600" s="7">
        <f t="shared" si="3"/>
        <v>0</v>
      </c>
      <c r="O600" s="7">
        <f t="shared" si="4"/>
        <v>0</v>
      </c>
      <c r="P600" s="7">
        <f t="shared" si="5"/>
        <v>0</v>
      </c>
      <c r="R600" s="15"/>
      <c r="S600" s="15"/>
      <c r="T600" s="9">
        <f t="shared" si="7"/>
        <v>0</v>
      </c>
      <c r="U600" s="10"/>
      <c r="V600" s="9"/>
      <c r="W600" s="10"/>
      <c r="X600" s="13"/>
      <c r="Y600" s="13"/>
    </row>
    <row r="601" ht="31.5" customHeight="1">
      <c r="D601" s="6" t="str">
        <f t="shared" si="1"/>
        <v/>
      </c>
      <c r="H601" s="7"/>
      <c r="K601" s="7">
        <f t="shared" si="2"/>
        <v>0</v>
      </c>
      <c r="N601" s="7">
        <f t="shared" si="3"/>
        <v>0</v>
      </c>
      <c r="O601" s="7">
        <f t="shared" si="4"/>
        <v>0</v>
      </c>
      <c r="P601" s="7">
        <f t="shared" si="5"/>
        <v>0</v>
      </c>
      <c r="R601" s="15"/>
      <c r="S601" s="15"/>
      <c r="T601" s="9">
        <f t="shared" si="7"/>
        <v>0</v>
      </c>
      <c r="U601" s="10"/>
      <c r="V601" s="9"/>
      <c r="W601" s="10"/>
      <c r="X601" s="13"/>
      <c r="Y601" s="13"/>
    </row>
    <row r="602" ht="31.5" customHeight="1">
      <c r="D602" s="6" t="str">
        <f t="shared" si="1"/>
        <v/>
      </c>
      <c r="H602" s="7"/>
      <c r="K602" s="7">
        <f t="shared" si="2"/>
        <v>0</v>
      </c>
      <c r="N602" s="7">
        <f t="shared" si="3"/>
        <v>0</v>
      </c>
      <c r="O602" s="7">
        <f t="shared" si="4"/>
        <v>0</v>
      </c>
      <c r="P602" s="7">
        <f t="shared" si="5"/>
        <v>0</v>
      </c>
      <c r="R602" s="15"/>
      <c r="S602" s="15"/>
      <c r="T602" s="9">
        <f t="shared" si="7"/>
        <v>0</v>
      </c>
      <c r="U602" s="10"/>
      <c r="V602" s="9"/>
      <c r="W602" s="10"/>
      <c r="X602" s="13"/>
      <c r="Y602" s="13"/>
    </row>
    <row r="603" ht="31.5" customHeight="1">
      <c r="D603" s="6" t="str">
        <f t="shared" si="1"/>
        <v/>
      </c>
      <c r="H603" s="7"/>
      <c r="K603" s="7">
        <f t="shared" si="2"/>
        <v>0</v>
      </c>
      <c r="N603" s="7">
        <f t="shared" si="3"/>
        <v>0</v>
      </c>
      <c r="O603" s="7">
        <f t="shared" si="4"/>
        <v>0</v>
      </c>
      <c r="P603" s="7">
        <f t="shared" si="5"/>
        <v>0</v>
      </c>
      <c r="R603" s="15"/>
      <c r="S603" s="15"/>
      <c r="T603" s="9">
        <f t="shared" si="7"/>
        <v>0</v>
      </c>
      <c r="U603" s="10"/>
      <c r="V603" s="9"/>
      <c r="W603" s="10"/>
      <c r="X603" s="13"/>
      <c r="Y603" s="13"/>
    </row>
    <row r="604" ht="31.5" customHeight="1">
      <c r="D604" s="6" t="str">
        <f t="shared" si="1"/>
        <v/>
      </c>
      <c r="H604" s="7"/>
      <c r="K604" s="7">
        <f t="shared" si="2"/>
        <v>0</v>
      </c>
      <c r="N604" s="7">
        <f t="shared" si="3"/>
        <v>0</v>
      </c>
      <c r="O604" s="7">
        <f t="shared" si="4"/>
        <v>0</v>
      </c>
      <c r="P604" s="7">
        <f t="shared" si="5"/>
        <v>0</v>
      </c>
      <c r="R604" s="15"/>
      <c r="S604" s="15"/>
      <c r="T604" s="9">
        <f t="shared" si="7"/>
        <v>0</v>
      </c>
      <c r="U604" s="10"/>
      <c r="V604" s="9"/>
      <c r="W604" s="10"/>
      <c r="X604" s="13"/>
      <c r="Y604" s="13"/>
    </row>
    <row r="605" ht="31.5" customHeight="1">
      <c r="D605" s="6" t="str">
        <f t="shared" si="1"/>
        <v/>
      </c>
      <c r="H605" s="7"/>
      <c r="K605" s="7">
        <f t="shared" si="2"/>
        <v>0</v>
      </c>
      <c r="N605" s="7">
        <f t="shared" si="3"/>
        <v>0</v>
      </c>
      <c r="O605" s="7">
        <f t="shared" si="4"/>
        <v>0</v>
      </c>
      <c r="P605" s="7">
        <f t="shared" si="5"/>
        <v>0</v>
      </c>
      <c r="R605" s="15"/>
      <c r="S605" s="15"/>
      <c r="T605" s="9">
        <f t="shared" si="7"/>
        <v>0</v>
      </c>
      <c r="U605" s="10"/>
      <c r="V605" s="9"/>
      <c r="W605" s="10"/>
      <c r="X605" s="13"/>
      <c r="Y605" s="13"/>
    </row>
    <row r="606" ht="31.5" customHeight="1">
      <c r="D606" s="6" t="str">
        <f t="shared" si="1"/>
        <v/>
      </c>
      <c r="H606" s="7"/>
      <c r="K606" s="7">
        <f t="shared" si="2"/>
        <v>0</v>
      </c>
      <c r="N606" s="7">
        <f t="shared" si="3"/>
        <v>0</v>
      </c>
      <c r="O606" s="7">
        <f t="shared" si="4"/>
        <v>0</v>
      </c>
      <c r="P606" s="7">
        <f t="shared" si="5"/>
        <v>0</v>
      </c>
      <c r="R606" s="15"/>
      <c r="S606" s="15"/>
      <c r="T606" s="9">
        <f t="shared" si="7"/>
        <v>0</v>
      </c>
      <c r="U606" s="10"/>
      <c r="V606" s="9"/>
      <c r="W606" s="10"/>
      <c r="X606" s="13"/>
      <c r="Y606" s="13"/>
    </row>
    <row r="607" ht="31.5" customHeight="1">
      <c r="D607" s="6" t="str">
        <f t="shared" si="1"/>
        <v/>
      </c>
      <c r="H607" s="7"/>
      <c r="K607" s="7">
        <f t="shared" si="2"/>
        <v>0</v>
      </c>
      <c r="N607" s="7">
        <f t="shared" si="3"/>
        <v>0</v>
      </c>
      <c r="O607" s="7">
        <f t="shared" si="4"/>
        <v>0</v>
      </c>
      <c r="P607" s="7">
        <f t="shared" si="5"/>
        <v>0</v>
      </c>
      <c r="R607" s="15"/>
      <c r="S607" s="15"/>
      <c r="T607" s="9">
        <f t="shared" si="7"/>
        <v>0</v>
      </c>
      <c r="U607" s="10"/>
      <c r="V607" s="9"/>
      <c r="W607" s="10"/>
      <c r="X607" s="13"/>
      <c r="Y607" s="13"/>
    </row>
    <row r="608" ht="31.5" customHeight="1">
      <c r="D608" s="6" t="str">
        <f t="shared" si="1"/>
        <v/>
      </c>
      <c r="H608" s="7"/>
      <c r="K608" s="7">
        <f t="shared" si="2"/>
        <v>0</v>
      </c>
      <c r="N608" s="7">
        <f t="shared" si="3"/>
        <v>0</v>
      </c>
      <c r="O608" s="7">
        <f t="shared" si="4"/>
        <v>0</v>
      </c>
      <c r="P608" s="7">
        <f t="shared" si="5"/>
        <v>0</v>
      </c>
      <c r="R608" s="15"/>
      <c r="S608" s="15"/>
      <c r="T608" s="9">
        <f t="shared" si="7"/>
        <v>0</v>
      </c>
      <c r="U608" s="10"/>
      <c r="V608" s="9"/>
      <c r="W608" s="10"/>
      <c r="X608" s="13"/>
      <c r="Y608" s="13"/>
    </row>
    <row r="609" ht="31.5" customHeight="1">
      <c r="D609" s="6" t="str">
        <f t="shared" si="1"/>
        <v/>
      </c>
      <c r="H609" s="7"/>
      <c r="K609" s="7">
        <f t="shared" si="2"/>
        <v>0</v>
      </c>
      <c r="N609" s="7">
        <f t="shared" si="3"/>
        <v>0</v>
      </c>
      <c r="O609" s="7">
        <f t="shared" si="4"/>
        <v>0</v>
      </c>
      <c r="P609" s="7">
        <f t="shared" si="5"/>
        <v>0</v>
      </c>
      <c r="R609" s="15"/>
      <c r="S609" s="15"/>
      <c r="T609" s="9">
        <f t="shared" si="7"/>
        <v>0</v>
      </c>
      <c r="U609" s="10"/>
      <c r="V609" s="9"/>
      <c r="W609" s="10"/>
      <c r="X609" s="13"/>
      <c r="Y609" s="13"/>
    </row>
    <row r="610" ht="31.5" customHeight="1">
      <c r="D610" s="6" t="str">
        <f t="shared" si="1"/>
        <v/>
      </c>
      <c r="H610" s="7"/>
      <c r="K610" s="7">
        <f t="shared" si="2"/>
        <v>0</v>
      </c>
      <c r="N610" s="7">
        <f t="shared" si="3"/>
        <v>0</v>
      </c>
      <c r="O610" s="7">
        <f t="shared" si="4"/>
        <v>0</v>
      </c>
      <c r="P610" s="7">
        <f t="shared" si="5"/>
        <v>0</v>
      </c>
      <c r="R610" s="15"/>
      <c r="S610" s="15"/>
      <c r="T610" s="9">
        <f t="shared" si="7"/>
        <v>0</v>
      </c>
      <c r="U610" s="10"/>
      <c r="V610" s="9"/>
      <c r="W610" s="10"/>
      <c r="X610" s="13"/>
      <c r="Y610" s="13"/>
    </row>
    <row r="611" ht="31.5" customHeight="1">
      <c r="D611" s="6" t="str">
        <f t="shared" si="1"/>
        <v/>
      </c>
      <c r="H611" s="7"/>
      <c r="K611" s="7">
        <f t="shared" si="2"/>
        <v>0</v>
      </c>
      <c r="N611" s="7">
        <f t="shared" si="3"/>
        <v>0</v>
      </c>
      <c r="O611" s="7">
        <f t="shared" si="4"/>
        <v>0</v>
      </c>
      <c r="P611" s="7">
        <f t="shared" si="5"/>
        <v>0</v>
      </c>
      <c r="R611" s="15"/>
      <c r="S611" s="15"/>
      <c r="T611" s="9">
        <f t="shared" si="7"/>
        <v>0</v>
      </c>
      <c r="U611" s="10"/>
      <c r="V611" s="9"/>
      <c r="W611" s="10"/>
      <c r="X611" s="13"/>
      <c r="Y611" s="13"/>
    </row>
    <row r="612" ht="31.5" customHeight="1">
      <c r="D612" s="6" t="str">
        <f t="shared" si="1"/>
        <v/>
      </c>
      <c r="H612" s="7"/>
      <c r="K612" s="7">
        <f t="shared" si="2"/>
        <v>0</v>
      </c>
      <c r="N612" s="7">
        <f t="shared" si="3"/>
        <v>0</v>
      </c>
      <c r="O612" s="7">
        <f t="shared" si="4"/>
        <v>0</v>
      </c>
      <c r="P612" s="7">
        <f t="shared" si="5"/>
        <v>0</v>
      </c>
      <c r="R612" s="15"/>
      <c r="S612" s="15"/>
      <c r="T612" s="9">
        <f t="shared" si="7"/>
        <v>0</v>
      </c>
      <c r="U612" s="10"/>
      <c r="V612" s="9"/>
      <c r="W612" s="10"/>
      <c r="X612" s="13"/>
      <c r="Y612" s="13"/>
    </row>
    <row r="613" ht="31.5" customHeight="1">
      <c r="D613" s="6" t="str">
        <f t="shared" si="1"/>
        <v/>
      </c>
      <c r="H613" s="7"/>
      <c r="K613" s="7">
        <f t="shared" si="2"/>
        <v>0</v>
      </c>
      <c r="N613" s="7">
        <f t="shared" si="3"/>
        <v>0</v>
      </c>
      <c r="O613" s="7">
        <f t="shared" si="4"/>
        <v>0</v>
      </c>
      <c r="P613" s="7">
        <f t="shared" si="5"/>
        <v>0</v>
      </c>
      <c r="R613" s="15"/>
      <c r="S613" s="15"/>
      <c r="T613" s="9">
        <f t="shared" si="7"/>
        <v>0</v>
      </c>
      <c r="U613" s="10"/>
      <c r="V613" s="9"/>
      <c r="W613" s="10"/>
      <c r="X613" s="13"/>
      <c r="Y613" s="13"/>
    </row>
    <row r="614" ht="31.5" customHeight="1">
      <c r="D614" s="6" t="str">
        <f t="shared" si="1"/>
        <v/>
      </c>
      <c r="H614" s="7"/>
      <c r="K614" s="7">
        <f t="shared" si="2"/>
        <v>0</v>
      </c>
      <c r="N614" s="7">
        <f t="shared" si="3"/>
        <v>0</v>
      </c>
      <c r="O614" s="7">
        <f t="shared" si="4"/>
        <v>0</v>
      </c>
      <c r="P614" s="7">
        <f t="shared" si="5"/>
        <v>0</v>
      </c>
      <c r="R614" s="15"/>
      <c r="S614" s="15"/>
      <c r="T614" s="9">
        <f t="shared" si="7"/>
        <v>0</v>
      </c>
      <c r="U614" s="10"/>
      <c r="V614" s="9"/>
      <c r="W614" s="10"/>
      <c r="X614" s="13"/>
      <c r="Y614" s="13"/>
    </row>
    <row r="615" ht="31.5" customHeight="1">
      <c r="D615" s="6" t="str">
        <f t="shared" si="1"/>
        <v/>
      </c>
      <c r="H615" s="7"/>
      <c r="K615" s="7">
        <f t="shared" si="2"/>
        <v>0</v>
      </c>
      <c r="N615" s="7">
        <f t="shared" si="3"/>
        <v>0</v>
      </c>
      <c r="O615" s="7">
        <f t="shared" si="4"/>
        <v>0</v>
      </c>
      <c r="P615" s="7">
        <f t="shared" si="5"/>
        <v>0</v>
      </c>
      <c r="R615" s="15"/>
      <c r="S615" s="15"/>
      <c r="T615" s="9">
        <f t="shared" si="7"/>
        <v>0</v>
      </c>
      <c r="U615" s="10"/>
      <c r="V615" s="9"/>
      <c r="W615" s="10"/>
      <c r="X615" s="13"/>
      <c r="Y615" s="13"/>
    </row>
    <row r="616" ht="31.5" customHeight="1">
      <c r="D616" s="6" t="str">
        <f t="shared" si="1"/>
        <v/>
      </c>
      <c r="H616" s="7"/>
      <c r="K616" s="7">
        <f t="shared" si="2"/>
        <v>0</v>
      </c>
      <c r="N616" s="7">
        <f t="shared" si="3"/>
        <v>0</v>
      </c>
      <c r="O616" s="7">
        <f t="shared" si="4"/>
        <v>0</v>
      </c>
      <c r="P616" s="7">
        <f t="shared" si="5"/>
        <v>0</v>
      </c>
      <c r="R616" s="15"/>
      <c r="S616" s="15"/>
      <c r="T616" s="9">
        <f t="shared" si="7"/>
        <v>0</v>
      </c>
      <c r="U616" s="10"/>
      <c r="V616" s="9"/>
      <c r="W616" s="10"/>
      <c r="X616" s="13"/>
      <c r="Y616" s="13"/>
    </row>
    <row r="617" ht="31.5" customHeight="1">
      <c r="D617" s="6" t="str">
        <f t="shared" si="1"/>
        <v/>
      </c>
      <c r="H617" s="7"/>
      <c r="K617" s="7">
        <f t="shared" si="2"/>
        <v>0</v>
      </c>
      <c r="N617" s="7">
        <f t="shared" si="3"/>
        <v>0</v>
      </c>
      <c r="O617" s="7">
        <f t="shared" si="4"/>
        <v>0</v>
      </c>
      <c r="P617" s="7">
        <f t="shared" si="5"/>
        <v>0</v>
      </c>
      <c r="R617" s="15"/>
      <c r="S617" s="15"/>
      <c r="T617" s="9">
        <f t="shared" si="7"/>
        <v>0</v>
      </c>
      <c r="U617" s="10"/>
      <c r="V617" s="9"/>
      <c r="W617" s="10"/>
      <c r="X617" s="13"/>
      <c r="Y617" s="13"/>
    </row>
    <row r="618" ht="31.5" customHeight="1">
      <c r="D618" s="6" t="str">
        <f t="shared" si="1"/>
        <v/>
      </c>
      <c r="H618" s="7"/>
      <c r="K618" s="7">
        <f t="shared" si="2"/>
        <v>0</v>
      </c>
      <c r="N618" s="7">
        <f t="shared" si="3"/>
        <v>0</v>
      </c>
      <c r="O618" s="7">
        <f t="shared" si="4"/>
        <v>0</v>
      </c>
      <c r="P618" s="7">
        <f t="shared" si="5"/>
        <v>0</v>
      </c>
      <c r="R618" s="15"/>
      <c r="S618" s="15"/>
      <c r="T618" s="9">
        <f t="shared" si="7"/>
        <v>0</v>
      </c>
      <c r="U618" s="10"/>
      <c r="V618" s="9"/>
      <c r="W618" s="10"/>
      <c r="X618" s="13"/>
      <c r="Y618" s="13"/>
    </row>
    <row r="619" ht="31.5" customHeight="1">
      <c r="D619" s="6" t="str">
        <f t="shared" si="1"/>
        <v/>
      </c>
      <c r="H619" s="7"/>
      <c r="K619" s="7">
        <f t="shared" si="2"/>
        <v>0</v>
      </c>
      <c r="N619" s="7">
        <f t="shared" si="3"/>
        <v>0</v>
      </c>
      <c r="O619" s="7">
        <f t="shared" si="4"/>
        <v>0</v>
      </c>
      <c r="P619" s="7">
        <f t="shared" si="5"/>
        <v>0</v>
      </c>
      <c r="R619" s="15"/>
      <c r="S619" s="15"/>
      <c r="T619" s="9">
        <f t="shared" si="7"/>
        <v>0</v>
      </c>
      <c r="U619" s="10"/>
      <c r="V619" s="9"/>
      <c r="W619" s="10"/>
      <c r="X619" s="13"/>
      <c r="Y619" s="13"/>
    </row>
    <row r="620" ht="31.5" customHeight="1">
      <c r="D620" s="6" t="str">
        <f t="shared" si="1"/>
        <v/>
      </c>
      <c r="H620" s="7"/>
      <c r="K620" s="7">
        <f t="shared" si="2"/>
        <v>0</v>
      </c>
      <c r="N620" s="7">
        <f t="shared" si="3"/>
        <v>0</v>
      </c>
      <c r="O620" s="7">
        <f t="shared" si="4"/>
        <v>0</v>
      </c>
      <c r="P620" s="7">
        <f t="shared" si="5"/>
        <v>0</v>
      </c>
      <c r="R620" s="15"/>
      <c r="S620" s="15"/>
      <c r="T620" s="9">
        <f t="shared" si="7"/>
        <v>0</v>
      </c>
      <c r="U620" s="10"/>
      <c r="V620" s="9"/>
      <c r="W620" s="10"/>
      <c r="X620" s="13"/>
      <c r="Y620" s="13"/>
    </row>
    <row r="621" ht="31.5" customHeight="1">
      <c r="D621" s="6" t="str">
        <f t="shared" si="1"/>
        <v/>
      </c>
      <c r="H621" s="7"/>
      <c r="K621" s="7">
        <f t="shared" si="2"/>
        <v>0</v>
      </c>
      <c r="N621" s="7">
        <f t="shared" si="3"/>
        <v>0</v>
      </c>
      <c r="O621" s="7">
        <f t="shared" si="4"/>
        <v>0</v>
      </c>
      <c r="P621" s="7">
        <f t="shared" si="5"/>
        <v>0</v>
      </c>
      <c r="R621" s="15"/>
      <c r="S621" s="15"/>
      <c r="T621" s="9">
        <f t="shared" si="7"/>
        <v>0</v>
      </c>
      <c r="U621" s="10"/>
      <c r="V621" s="9"/>
      <c r="W621" s="10"/>
      <c r="X621" s="13"/>
      <c r="Y621" s="13"/>
    </row>
    <row r="622" ht="31.5" customHeight="1">
      <c r="D622" s="6" t="str">
        <f t="shared" si="1"/>
        <v/>
      </c>
      <c r="H622" s="7"/>
      <c r="K622" s="7">
        <f t="shared" si="2"/>
        <v>0</v>
      </c>
      <c r="N622" s="7">
        <f t="shared" si="3"/>
        <v>0</v>
      </c>
      <c r="O622" s="7">
        <f t="shared" si="4"/>
        <v>0</v>
      </c>
      <c r="P622" s="7">
        <f t="shared" si="5"/>
        <v>0</v>
      </c>
      <c r="R622" s="15"/>
      <c r="S622" s="15"/>
      <c r="T622" s="9">
        <f t="shared" si="7"/>
        <v>0</v>
      </c>
      <c r="U622" s="10"/>
      <c r="V622" s="9"/>
      <c r="W622" s="10"/>
      <c r="X622" s="13"/>
      <c r="Y622" s="13"/>
    </row>
    <row r="623" ht="31.5" customHeight="1">
      <c r="D623" s="6" t="str">
        <f t="shared" si="1"/>
        <v/>
      </c>
      <c r="H623" s="7"/>
      <c r="K623" s="7">
        <f t="shared" si="2"/>
        <v>0</v>
      </c>
      <c r="N623" s="7">
        <f t="shared" si="3"/>
        <v>0</v>
      </c>
      <c r="O623" s="7">
        <f t="shared" si="4"/>
        <v>0</v>
      </c>
      <c r="P623" s="7">
        <f t="shared" si="5"/>
        <v>0</v>
      </c>
      <c r="R623" s="15"/>
      <c r="S623" s="15"/>
      <c r="T623" s="9">
        <f t="shared" si="7"/>
        <v>0</v>
      </c>
      <c r="U623" s="10"/>
      <c r="V623" s="9"/>
      <c r="W623" s="10"/>
      <c r="X623" s="13"/>
      <c r="Y623" s="13"/>
    </row>
    <row r="624" ht="31.5" customHeight="1">
      <c r="D624" s="6" t="str">
        <f t="shared" si="1"/>
        <v/>
      </c>
      <c r="H624" s="7"/>
      <c r="K624" s="7">
        <f t="shared" si="2"/>
        <v>0</v>
      </c>
      <c r="N624" s="7">
        <f t="shared" si="3"/>
        <v>0</v>
      </c>
      <c r="O624" s="7">
        <f t="shared" si="4"/>
        <v>0</v>
      </c>
      <c r="P624" s="7">
        <f t="shared" si="5"/>
        <v>0</v>
      </c>
      <c r="R624" s="15"/>
      <c r="S624" s="15"/>
      <c r="T624" s="9">
        <f t="shared" si="7"/>
        <v>0</v>
      </c>
      <c r="U624" s="10"/>
      <c r="V624" s="9"/>
      <c r="W624" s="10"/>
      <c r="X624" s="13"/>
      <c r="Y624" s="13"/>
    </row>
    <row r="625" ht="31.5" customHeight="1">
      <c r="D625" s="6" t="str">
        <f t="shared" si="1"/>
        <v/>
      </c>
      <c r="H625" s="7"/>
      <c r="K625" s="7">
        <f t="shared" si="2"/>
        <v>0</v>
      </c>
      <c r="N625" s="7">
        <f t="shared" si="3"/>
        <v>0</v>
      </c>
      <c r="O625" s="7">
        <f t="shared" si="4"/>
        <v>0</v>
      </c>
      <c r="P625" s="7">
        <f t="shared" si="5"/>
        <v>0</v>
      </c>
      <c r="R625" s="15"/>
      <c r="S625" s="15"/>
      <c r="T625" s="9">
        <f t="shared" si="7"/>
        <v>0</v>
      </c>
      <c r="U625" s="10"/>
      <c r="V625" s="9"/>
      <c r="W625" s="10"/>
      <c r="X625" s="13"/>
      <c r="Y625" s="13"/>
    </row>
    <row r="626" ht="31.5" customHeight="1">
      <c r="D626" s="6" t="str">
        <f t="shared" si="1"/>
        <v/>
      </c>
      <c r="H626" s="7"/>
      <c r="K626" s="7">
        <f t="shared" si="2"/>
        <v>0</v>
      </c>
      <c r="N626" s="7">
        <f t="shared" si="3"/>
        <v>0</v>
      </c>
      <c r="O626" s="7">
        <f t="shared" si="4"/>
        <v>0</v>
      </c>
      <c r="P626" s="7">
        <f t="shared" si="5"/>
        <v>0</v>
      </c>
      <c r="R626" s="15"/>
      <c r="S626" s="15"/>
      <c r="T626" s="9">
        <f t="shared" si="7"/>
        <v>0</v>
      </c>
      <c r="U626" s="10"/>
      <c r="V626" s="9"/>
      <c r="W626" s="10"/>
      <c r="X626" s="13"/>
      <c r="Y626" s="13"/>
    </row>
    <row r="627" ht="31.5" customHeight="1">
      <c r="D627" s="6" t="str">
        <f t="shared" si="1"/>
        <v/>
      </c>
      <c r="H627" s="7"/>
      <c r="K627" s="7">
        <f t="shared" si="2"/>
        <v>0</v>
      </c>
      <c r="N627" s="7">
        <f t="shared" si="3"/>
        <v>0</v>
      </c>
      <c r="O627" s="7">
        <f t="shared" si="4"/>
        <v>0</v>
      </c>
      <c r="P627" s="7">
        <f t="shared" si="5"/>
        <v>0</v>
      </c>
      <c r="R627" s="15"/>
      <c r="S627" s="15"/>
      <c r="T627" s="9">
        <f t="shared" si="7"/>
        <v>0</v>
      </c>
      <c r="U627" s="10"/>
      <c r="V627" s="9"/>
      <c r="W627" s="10"/>
      <c r="X627" s="13"/>
      <c r="Y627" s="13"/>
    </row>
    <row r="628" ht="31.5" customHeight="1">
      <c r="D628" s="6" t="str">
        <f t="shared" si="1"/>
        <v/>
      </c>
      <c r="H628" s="7"/>
      <c r="K628" s="7">
        <f t="shared" si="2"/>
        <v>0</v>
      </c>
      <c r="N628" s="7">
        <f t="shared" si="3"/>
        <v>0</v>
      </c>
      <c r="O628" s="7">
        <f t="shared" si="4"/>
        <v>0</v>
      </c>
      <c r="P628" s="7">
        <f t="shared" si="5"/>
        <v>0</v>
      </c>
      <c r="R628" s="15"/>
      <c r="S628" s="15"/>
      <c r="T628" s="9">
        <f t="shared" si="7"/>
        <v>0</v>
      </c>
      <c r="U628" s="10"/>
      <c r="V628" s="9"/>
      <c r="W628" s="10"/>
      <c r="X628" s="13"/>
      <c r="Y628" s="13"/>
    </row>
    <row r="629" ht="31.5" customHeight="1">
      <c r="D629" s="6" t="str">
        <f t="shared" si="1"/>
        <v/>
      </c>
      <c r="H629" s="7"/>
      <c r="K629" s="7">
        <f t="shared" si="2"/>
        <v>0</v>
      </c>
      <c r="N629" s="7">
        <f t="shared" si="3"/>
        <v>0</v>
      </c>
      <c r="O629" s="7">
        <f t="shared" si="4"/>
        <v>0</v>
      </c>
      <c r="P629" s="7">
        <f t="shared" si="5"/>
        <v>0</v>
      </c>
      <c r="R629" s="15"/>
      <c r="S629" s="15"/>
      <c r="T629" s="9">
        <f t="shared" si="7"/>
        <v>0</v>
      </c>
      <c r="U629" s="10"/>
      <c r="V629" s="9"/>
      <c r="W629" s="10"/>
      <c r="X629" s="13"/>
      <c r="Y629" s="13"/>
    </row>
    <row r="630" ht="31.5" customHeight="1">
      <c r="D630" s="6" t="str">
        <f t="shared" si="1"/>
        <v/>
      </c>
      <c r="H630" s="7"/>
      <c r="K630" s="7">
        <f t="shared" si="2"/>
        <v>0</v>
      </c>
      <c r="N630" s="7">
        <f t="shared" si="3"/>
        <v>0</v>
      </c>
      <c r="O630" s="7">
        <f t="shared" si="4"/>
        <v>0</v>
      </c>
      <c r="P630" s="7">
        <f t="shared" si="5"/>
        <v>0</v>
      </c>
      <c r="R630" s="15"/>
      <c r="S630" s="15"/>
      <c r="T630" s="9">
        <f t="shared" si="7"/>
        <v>0</v>
      </c>
      <c r="U630" s="10"/>
      <c r="V630" s="9"/>
      <c r="W630" s="10"/>
      <c r="X630" s="13"/>
      <c r="Y630" s="13"/>
    </row>
    <row r="631" ht="31.5" customHeight="1">
      <c r="D631" s="6" t="str">
        <f t="shared" si="1"/>
        <v/>
      </c>
      <c r="H631" s="7"/>
      <c r="K631" s="7">
        <f t="shared" si="2"/>
        <v>0</v>
      </c>
      <c r="N631" s="7">
        <f t="shared" si="3"/>
        <v>0</v>
      </c>
      <c r="O631" s="7">
        <f t="shared" si="4"/>
        <v>0</v>
      </c>
      <c r="P631" s="7">
        <f t="shared" si="5"/>
        <v>0</v>
      </c>
      <c r="R631" s="15"/>
      <c r="S631" s="15"/>
      <c r="T631" s="9">
        <f t="shared" si="7"/>
        <v>0</v>
      </c>
      <c r="U631" s="10"/>
      <c r="V631" s="9"/>
      <c r="W631" s="10"/>
      <c r="X631" s="13"/>
      <c r="Y631" s="13"/>
    </row>
    <row r="632" ht="31.5" customHeight="1">
      <c r="D632" s="6" t="str">
        <f t="shared" si="1"/>
        <v/>
      </c>
      <c r="H632" s="7"/>
      <c r="K632" s="7">
        <f t="shared" si="2"/>
        <v>0</v>
      </c>
      <c r="N632" s="7">
        <f t="shared" si="3"/>
        <v>0</v>
      </c>
      <c r="O632" s="7">
        <f t="shared" si="4"/>
        <v>0</v>
      </c>
      <c r="P632" s="7">
        <f t="shared" si="5"/>
        <v>0</v>
      </c>
      <c r="R632" s="15"/>
      <c r="S632" s="15"/>
      <c r="T632" s="9">
        <f t="shared" si="7"/>
        <v>0</v>
      </c>
      <c r="U632" s="10"/>
      <c r="V632" s="9"/>
      <c r="W632" s="10"/>
      <c r="X632" s="13"/>
      <c r="Y632" s="13"/>
    </row>
    <row r="633" ht="31.5" customHeight="1">
      <c r="D633" s="6" t="str">
        <f t="shared" si="1"/>
        <v/>
      </c>
      <c r="H633" s="7"/>
      <c r="K633" s="7">
        <f t="shared" si="2"/>
        <v>0</v>
      </c>
      <c r="N633" s="7">
        <f t="shared" si="3"/>
        <v>0</v>
      </c>
      <c r="O633" s="7">
        <f t="shared" si="4"/>
        <v>0</v>
      </c>
      <c r="P633" s="7">
        <f t="shared" si="5"/>
        <v>0</v>
      </c>
      <c r="R633" s="15"/>
      <c r="S633" s="15"/>
      <c r="T633" s="9">
        <f t="shared" si="7"/>
        <v>0</v>
      </c>
      <c r="U633" s="10"/>
      <c r="V633" s="9"/>
      <c r="W633" s="10"/>
      <c r="X633" s="13"/>
      <c r="Y633" s="13"/>
    </row>
    <row r="634" ht="31.5" customHeight="1">
      <c r="D634" s="6" t="str">
        <f t="shared" si="1"/>
        <v/>
      </c>
      <c r="H634" s="7"/>
      <c r="K634" s="7">
        <f t="shared" si="2"/>
        <v>0</v>
      </c>
      <c r="N634" s="7">
        <f t="shared" si="3"/>
        <v>0</v>
      </c>
      <c r="O634" s="7">
        <f t="shared" si="4"/>
        <v>0</v>
      </c>
      <c r="P634" s="7">
        <f t="shared" si="5"/>
        <v>0</v>
      </c>
      <c r="R634" s="15"/>
      <c r="S634" s="15"/>
      <c r="T634" s="9">
        <f t="shared" si="7"/>
        <v>0</v>
      </c>
      <c r="U634" s="10"/>
      <c r="V634" s="9"/>
      <c r="W634" s="10"/>
      <c r="X634" s="13"/>
      <c r="Y634" s="13"/>
    </row>
    <row r="635" ht="31.5" customHeight="1">
      <c r="D635" s="6" t="str">
        <f t="shared" si="1"/>
        <v/>
      </c>
      <c r="H635" s="7"/>
      <c r="K635" s="7">
        <f t="shared" si="2"/>
        <v>0</v>
      </c>
      <c r="N635" s="7">
        <f t="shared" si="3"/>
        <v>0</v>
      </c>
      <c r="O635" s="7">
        <f t="shared" si="4"/>
        <v>0</v>
      </c>
      <c r="P635" s="7">
        <f t="shared" si="5"/>
        <v>0</v>
      </c>
      <c r="R635" s="15"/>
      <c r="S635" s="15"/>
      <c r="T635" s="9">
        <f t="shared" si="7"/>
        <v>0</v>
      </c>
      <c r="U635" s="10"/>
      <c r="V635" s="9"/>
      <c r="W635" s="10"/>
      <c r="X635" s="13"/>
      <c r="Y635" s="13"/>
    </row>
    <row r="636" ht="31.5" customHeight="1">
      <c r="D636" s="6" t="str">
        <f t="shared" si="1"/>
        <v/>
      </c>
      <c r="H636" s="7"/>
      <c r="K636" s="7">
        <f t="shared" si="2"/>
        <v>0</v>
      </c>
      <c r="N636" s="7">
        <f t="shared" si="3"/>
        <v>0</v>
      </c>
      <c r="O636" s="7">
        <f t="shared" si="4"/>
        <v>0</v>
      </c>
      <c r="P636" s="7">
        <f t="shared" si="5"/>
        <v>0</v>
      </c>
      <c r="R636" s="15"/>
      <c r="S636" s="15"/>
      <c r="T636" s="9">
        <f t="shared" si="7"/>
        <v>0</v>
      </c>
      <c r="U636" s="10"/>
      <c r="V636" s="9"/>
      <c r="W636" s="10"/>
      <c r="X636" s="13"/>
      <c r="Y636" s="13"/>
    </row>
    <row r="637" ht="31.5" customHeight="1">
      <c r="D637" s="6" t="str">
        <f t="shared" si="1"/>
        <v/>
      </c>
      <c r="H637" s="7"/>
      <c r="K637" s="7">
        <f t="shared" si="2"/>
        <v>0</v>
      </c>
      <c r="N637" s="7">
        <f t="shared" si="3"/>
        <v>0</v>
      </c>
      <c r="O637" s="7">
        <f t="shared" si="4"/>
        <v>0</v>
      </c>
      <c r="P637" s="7">
        <f t="shared" si="5"/>
        <v>0</v>
      </c>
      <c r="R637" s="15"/>
      <c r="S637" s="15"/>
      <c r="T637" s="9">
        <f t="shared" si="7"/>
        <v>0</v>
      </c>
      <c r="U637" s="10"/>
      <c r="V637" s="9"/>
      <c r="W637" s="10"/>
      <c r="X637" s="13"/>
      <c r="Y637" s="13"/>
    </row>
    <row r="638" ht="31.5" customHeight="1">
      <c r="D638" s="6" t="str">
        <f t="shared" si="1"/>
        <v/>
      </c>
      <c r="H638" s="7"/>
      <c r="K638" s="7">
        <f t="shared" si="2"/>
        <v>0</v>
      </c>
      <c r="N638" s="7">
        <f t="shared" si="3"/>
        <v>0</v>
      </c>
      <c r="O638" s="7">
        <f t="shared" si="4"/>
        <v>0</v>
      </c>
      <c r="P638" s="7">
        <f t="shared" si="5"/>
        <v>0</v>
      </c>
      <c r="R638" s="15"/>
      <c r="S638" s="15"/>
      <c r="T638" s="9">
        <f t="shared" si="7"/>
        <v>0</v>
      </c>
      <c r="U638" s="10"/>
      <c r="V638" s="9"/>
      <c r="W638" s="10"/>
      <c r="X638" s="13"/>
      <c r="Y638" s="13"/>
    </row>
    <row r="639" ht="31.5" customHeight="1">
      <c r="D639" s="6" t="str">
        <f t="shared" si="1"/>
        <v/>
      </c>
      <c r="H639" s="7"/>
      <c r="K639" s="7">
        <f t="shared" si="2"/>
        <v>0</v>
      </c>
      <c r="N639" s="7">
        <f t="shared" si="3"/>
        <v>0</v>
      </c>
      <c r="O639" s="7">
        <f t="shared" si="4"/>
        <v>0</v>
      </c>
      <c r="P639" s="7">
        <f t="shared" si="5"/>
        <v>0</v>
      </c>
      <c r="R639" s="15"/>
      <c r="S639" s="15"/>
      <c r="T639" s="9">
        <f t="shared" si="7"/>
        <v>0</v>
      </c>
      <c r="U639" s="10"/>
      <c r="V639" s="9"/>
      <c r="W639" s="10"/>
      <c r="X639" s="13"/>
      <c r="Y639" s="13"/>
    </row>
    <row r="640" ht="31.5" customHeight="1">
      <c r="D640" s="6" t="str">
        <f t="shared" si="1"/>
        <v/>
      </c>
      <c r="H640" s="7"/>
      <c r="K640" s="7">
        <f t="shared" si="2"/>
        <v>0</v>
      </c>
      <c r="N640" s="7">
        <f t="shared" si="3"/>
        <v>0</v>
      </c>
      <c r="O640" s="7">
        <f t="shared" si="4"/>
        <v>0</v>
      </c>
      <c r="P640" s="7">
        <f t="shared" si="5"/>
        <v>0</v>
      </c>
      <c r="R640" s="15"/>
      <c r="S640" s="15"/>
      <c r="T640" s="9">
        <f t="shared" si="7"/>
        <v>0</v>
      </c>
      <c r="U640" s="10"/>
      <c r="V640" s="9"/>
      <c r="W640" s="10"/>
      <c r="X640" s="13"/>
      <c r="Y640" s="13"/>
    </row>
    <row r="641" ht="31.5" customHeight="1">
      <c r="D641" s="6" t="str">
        <f t="shared" si="1"/>
        <v/>
      </c>
      <c r="H641" s="7"/>
      <c r="K641" s="7">
        <f t="shared" si="2"/>
        <v>0</v>
      </c>
      <c r="N641" s="7">
        <f t="shared" si="3"/>
        <v>0</v>
      </c>
      <c r="O641" s="7">
        <f t="shared" si="4"/>
        <v>0</v>
      </c>
      <c r="P641" s="7">
        <f t="shared" si="5"/>
        <v>0</v>
      </c>
      <c r="R641" s="15"/>
      <c r="S641" s="15"/>
      <c r="T641" s="9">
        <f t="shared" si="7"/>
        <v>0</v>
      </c>
      <c r="U641" s="10"/>
      <c r="V641" s="9"/>
      <c r="W641" s="10"/>
      <c r="X641" s="13"/>
      <c r="Y641" s="13"/>
    </row>
    <row r="642" ht="31.5" customHeight="1">
      <c r="D642" s="6" t="str">
        <f t="shared" si="1"/>
        <v/>
      </c>
      <c r="H642" s="7"/>
      <c r="K642" s="7">
        <f t="shared" si="2"/>
        <v>0</v>
      </c>
      <c r="N642" s="7">
        <f t="shared" si="3"/>
        <v>0</v>
      </c>
      <c r="O642" s="7">
        <f t="shared" si="4"/>
        <v>0</v>
      </c>
      <c r="P642" s="7">
        <f t="shared" si="5"/>
        <v>0</v>
      </c>
      <c r="R642" s="15"/>
      <c r="S642" s="15"/>
      <c r="T642" s="9">
        <f t="shared" si="7"/>
        <v>0</v>
      </c>
      <c r="U642" s="10"/>
      <c r="V642" s="9"/>
      <c r="W642" s="10"/>
      <c r="X642" s="13"/>
      <c r="Y642" s="13"/>
    </row>
    <row r="643" ht="31.5" customHeight="1">
      <c r="D643" s="6" t="str">
        <f t="shared" si="1"/>
        <v/>
      </c>
      <c r="H643" s="7"/>
      <c r="K643" s="7">
        <f t="shared" si="2"/>
        <v>0</v>
      </c>
      <c r="N643" s="7">
        <f t="shared" si="3"/>
        <v>0</v>
      </c>
      <c r="O643" s="7">
        <f t="shared" si="4"/>
        <v>0</v>
      </c>
      <c r="P643" s="7">
        <f t="shared" si="5"/>
        <v>0</v>
      </c>
      <c r="R643" s="15"/>
      <c r="S643" s="15"/>
      <c r="T643" s="9">
        <f t="shared" si="7"/>
        <v>0</v>
      </c>
      <c r="U643" s="10"/>
      <c r="V643" s="9"/>
      <c r="W643" s="10"/>
      <c r="X643" s="13"/>
      <c r="Y643" s="13"/>
    </row>
    <row r="644" ht="31.5" customHeight="1">
      <c r="D644" s="6" t="str">
        <f t="shared" si="1"/>
        <v/>
      </c>
      <c r="H644" s="7"/>
      <c r="K644" s="7">
        <f t="shared" si="2"/>
        <v>0</v>
      </c>
      <c r="N644" s="7">
        <f t="shared" si="3"/>
        <v>0</v>
      </c>
      <c r="O644" s="7">
        <f t="shared" si="4"/>
        <v>0</v>
      </c>
      <c r="P644" s="7">
        <f t="shared" si="5"/>
        <v>0</v>
      </c>
      <c r="R644" s="15"/>
      <c r="S644" s="15"/>
      <c r="T644" s="9">
        <f t="shared" si="7"/>
        <v>0</v>
      </c>
      <c r="U644" s="10"/>
      <c r="V644" s="9"/>
      <c r="W644" s="10"/>
      <c r="X644" s="13"/>
      <c r="Y644" s="13"/>
    </row>
    <row r="645" ht="31.5" customHeight="1">
      <c r="D645" s="6" t="str">
        <f t="shared" si="1"/>
        <v/>
      </c>
      <c r="H645" s="7"/>
      <c r="K645" s="7">
        <f t="shared" si="2"/>
        <v>0</v>
      </c>
      <c r="N645" s="7">
        <f t="shared" si="3"/>
        <v>0</v>
      </c>
      <c r="O645" s="7">
        <f t="shared" si="4"/>
        <v>0</v>
      </c>
      <c r="P645" s="7">
        <f t="shared" si="5"/>
        <v>0</v>
      </c>
      <c r="R645" s="15"/>
      <c r="S645" s="15"/>
      <c r="T645" s="9">
        <f t="shared" si="7"/>
        <v>0</v>
      </c>
      <c r="U645" s="10"/>
      <c r="V645" s="9"/>
      <c r="W645" s="10"/>
      <c r="X645" s="13"/>
      <c r="Y645" s="13"/>
    </row>
    <row r="646" ht="31.5" customHeight="1">
      <c r="D646" s="6" t="str">
        <f t="shared" si="1"/>
        <v/>
      </c>
      <c r="H646" s="7"/>
      <c r="K646" s="7">
        <f t="shared" si="2"/>
        <v>0</v>
      </c>
      <c r="N646" s="7">
        <f t="shared" si="3"/>
        <v>0</v>
      </c>
      <c r="O646" s="7">
        <f t="shared" si="4"/>
        <v>0</v>
      </c>
      <c r="P646" s="7">
        <f t="shared" si="5"/>
        <v>0</v>
      </c>
      <c r="R646" s="15"/>
      <c r="S646" s="15"/>
      <c r="T646" s="9">
        <f t="shared" si="7"/>
        <v>0</v>
      </c>
      <c r="U646" s="10"/>
      <c r="V646" s="9"/>
      <c r="W646" s="10"/>
      <c r="X646" s="13"/>
      <c r="Y646" s="13"/>
    </row>
    <row r="647" ht="31.5" customHeight="1">
      <c r="D647" s="6" t="str">
        <f t="shared" si="1"/>
        <v/>
      </c>
      <c r="H647" s="7"/>
      <c r="K647" s="7">
        <f t="shared" si="2"/>
        <v>0</v>
      </c>
      <c r="N647" s="7">
        <f t="shared" si="3"/>
        <v>0</v>
      </c>
      <c r="O647" s="7">
        <f t="shared" si="4"/>
        <v>0</v>
      </c>
      <c r="P647" s="7">
        <f t="shared" si="5"/>
        <v>0</v>
      </c>
      <c r="R647" s="15"/>
      <c r="S647" s="15"/>
      <c r="T647" s="9">
        <f t="shared" si="7"/>
        <v>0</v>
      </c>
      <c r="U647" s="10"/>
      <c r="V647" s="9"/>
      <c r="W647" s="10"/>
      <c r="X647" s="13"/>
      <c r="Y647" s="13"/>
    </row>
    <row r="648" ht="31.5" customHeight="1">
      <c r="D648" s="6" t="str">
        <f t="shared" si="1"/>
        <v/>
      </c>
      <c r="H648" s="7"/>
      <c r="K648" s="7">
        <f t="shared" si="2"/>
        <v>0</v>
      </c>
      <c r="N648" s="7">
        <f t="shared" si="3"/>
        <v>0</v>
      </c>
      <c r="O648" s="7">
        <f t="shared" si="4"/>
        <v>0</v>
      </c>
      <c r="P648" s="7">
        <f t="shared" si="5"/>
        <v>0</v>
      </c>
      <c r="R648" s="15"/>
      <c r="S648" s="15"/>
      <c r="T648" s="9">
        <f t="shared" si="7"/>
        <v>0</v>
      </c>
      <c r="U648" s="10"/>
      <c r="V648" s="9"/>
      <c r="W648" s="10"/>
      <c r="X648" s="13"/>
      <c r="Y648" s="13"/>
    </row>
    <row r="649" ht="31.5" customHeight="1">
      <c r="D649" s="6" t="str">
        <f t="shared" si="1"/>
        <v/>
      </c>
      <c r="H649" s="7"/>
      <c r="K649" s="7">
        <f t="shared" si="2"/>
        <v>0</v>
      </c>
      <c r="N649" s="7">
        <f t="shared" si="3"/>
        <v>0</v>
      </c>
      <c r="O649" s="7">
        <f t="shared" si="4"/>
        <v>0</v>
      </c>
      <c r="P649" s="7">
        <f t="shared" si="5"/>
        <v>0</v>
      </c>
      <c r="R649" s="15"/>
      <c r="S649" s="15"/>
      <c r="T649" s="9">
        <f t="shared" si="7"/>
        <v>0</v>
      </c>
      <c r="U649" s="10"/>
      <c r="V649" s="9"/>
      <c r="W649" s="10"/>
      <c r="X649" s="13"/>
      <c r="Y649" s="13"/>
    </row>
    <row r="650" ht="31.5" customHeight="1">
      <c r="D650" s="6" t="str">
        <f t="shared" si="1"/>
        <v/>
      </c>
      <c r="H650" s="7"/>
      <c r="K650" s="7">
        <f t="shared" si="2"/>
        <v>0</v>
      </c>
      <c r="N650" s="7">
        <f t="shared" si="3"/>
        <v>0</v>
      </c>
      <c r="O650" s="7">
        <f t="shared" si="4"/>
        <v>0</v>
      </c>
      <c r="P650" s="7">
        <f t="shared" si="5"/>
        <v>0</v>
      </c>
      <c r="R650" s="15"/>
      <c r="S650" s="15"/>
      <c r="T650" s="9">
        <f t="shared" si="7"/>
        <v>0</v>
      </c>
      <c r="U650" s="10"/>
      <c r="V650" s="9"/>
      <c r="W650" s="10"/>
      <c r="X650" s="13"/>
      <c r="Y650" s="13"/>
    </row>
    <row r="651" ht="31.5" customHeight="1">
      <c r="D651" s="6" t="str">
        <f t="shared" si="1"/>
        <v/>
      </c>
      <c r="H651" s="7"/>
      <c r="K651" s="7">
        <f t="shared" si="2"/>
        <v>0</v>
      </c>
      <c r="N651" s="7">
        <f t="shared" si="3"/>
        <v>0</v>
      </c>
      <c r="O651" s="7">
        <f t="shared" si="4"/>
        <v>0</v>
      </c>
      <c r="P651" s="7">
        <f t="shared" si="5"/>
        <v>0</v>
      </c>
      <c r="R651" s="15"/>
      <c r="S651" s="15"/>
      <c r="T651" s="9">
        <f t="shared" si="7"/>
        <v>0</v>
      </c>
      <c r="U651" s="10"/>
      <c r="V651" s="9"/>
      <c r="W651" s="10"/>
      <c r="X651" s="13"/>
      <c r="Y651" s="13"/>
    </row>
    <row r="652" ht="31.5" customHeight="1">
      <c r="D652" s="6" t="str">
        <f t="shared" si="1"/>
        <v/>
      </c>
      <c r="H652" s="7"/>
      <c r="K652" s="7">
        <f t="shared" si="2"/>
        <v>0</v>
      </c>
      <c r="N652" s="7">
        <f t="shared" si="3"/>
        <v>0</v>
      </c>
      <c r="O652" s="7">
        <f t="shared" si="4"/>
        <v>0</v>
      </c>
      <c r="P652" s="7">
        <f t="shared" si="5"/>
        <v>0</v>
      </c>
      <c r="R652" s="15"/>
      <c r="S652" s="15"/>
      <c r="T652" s="9">
        <f t="shared" si="7"/>
        <v>0</v>
      </c>
      <c r="U652" s="10"/>
      <c r="V652" s="9"/>
      <c r="W652" s="10"/>
      <c r="X652" s="13"/>
      <c r="Y652" s="13"/>
    </row>
    <row r="653" ht="31.5" customHeight="1">
      <c r="D653" s="6" t="str">
        <f t="shared" si="1"/>
        <v/>
      </c>
      <c r="H653" s="7"/>
      <c r="K653" s="7">
        <f t="shared" si="2"/>
        <v>0</v>
      </c>
      <c r="N653" s="7">
        <f t="shared" si="3"/>
        <v>0</v>
      </c>
      <c r="O653" s="7">
        <f t="shared" si="4"/>
        <v>0</v>
      </c>
      <c r="P653" s="7">
        <f t="shared" si="5"/>
        <v>0</v>
      </c>
      <c r="R653" s="15"/>
      <c r="S653" s="15"/>
      <c r="T653" s="9">
        <f t="shared" si="7"/>
        <v>0</v>
      </c>
      <c r="U653" s="10"/>
      <c r="V653" s="9"/>
      <c r="W653" s="10"/>
      <c r="X653" s="13"/>
      <c r="Y653" s="13"/>
    </row>
    <row r="654" ht="31.5" customHeight="1">
      <c r="D654" s="6" t="str">
        <f t="shared" si="1"/>
        <v/>
      </c>
      <c r="H654" s="7"/>
      <c r="K654" s="7">
        <f t="shared" si="2"/>
        <v>0</v>
      </c>
      <c r="N654" s="7">
        <f t="shared" si="3"/>
        <v>0</v>
      </c>
      <c r="O654" s="7">
        <f t="shared" si="4"/>
        <v>0</v>
      </c>
      <c r="P654" s="7">
        <f t="shared" si="5"/>
        <v>0</v>
      </c>
      <c r="R654" s="15"/>
      <c r="S654" s="15"/>
      <c r="T654" s="9">
        <f t="shared" si="7"/>
        <v>0</v>
      </c>
      <c r="U654" s="10"/>
      <c r="V654" s="9"/>
      <c r="W654" s="10"/>
      <c r="X654" s="13"/>
      <c r="Y654" s="13"/>
    </row>
    <row r="655" ht="31.5" customHeight="1">
      <c r="D655" s="6" t="str">
        <f t="shared" si="1"/>
        <v/>
      </c>
      <c r="H655" s="7"/>
      <c r="K655" s="7">
        <f t="shared" si="2"/>
        <v>0</v>
      </c>
      <c r="N655" s="7">
        <f t="shared" si="3"/>
        <v>0</v>
      </c>
      <c r="O655" s="7">
        <f t="shared" si="4"/>
        <v>0</v>
      </c>
      <c r="P655" s="7">
        <f t="shared" si="5"/>
        <v>0</v>
      </c>
      <c r="R655" s="15"/>
      <c r="S655" s="15"/>
      <c r="T655" s="9">
        <f t="shared" si="7"/>
        <v>0</v>
      </c>
      <c r="U655" s="10"/>
      <c r="V655" s="9"/>
      <c r="W655" s="10"/>
      <c r="X655" s="13"/>
      <c r="Y655" s="13"/>
    </row>
    <row r="656" ht="31.5" customHeight="1">
      <c r="D656" s="6" t="str">
        <f t="shared" si="1"/>
        <v/>
      </c>
      <c r="H656" s="7"/>
      <c r="K656" s="7">
        <f t="shared" si="2"/>
        <v>0</v>
      </c>
      <c r="N656" s="7">
        <f t="shared" si="3"/>
        <v>0</v>
      </c>
      <c r="O656" s="7">
        <f t="shared" si="4"/>
        <v>0</v>
      </c>
      <c r="P656" s="7">
        <f t="shared" si="5"/>
        <v>0</v>
      </c>
      <c r="R656" s="15"/>
      <c r="S656" s="15"/>
      <c r="T656" s="9">
        <f t="shared" si="7"/>
        <v>0</v>
      </c>
      <c r="U656" s="10"/>
      <c r="V656" s="9"/>
      <c r="W656" s="10"/>
      <c r="X656" s="13"/>
      <c r="Y656" s="13"/>
    </row>
    <row r="657" ht="31.5" customHeight="1">
      <c r="D657" s="6" t="str">
        <f t="shared" si="1"/>
        <v/>
      </c>
      <c r="H657" s="7"/>
      <c r="K657" s="7">
        <f t="shared" si="2"/>
        <v>0</v>
      </c>
      <c r="N657" s="7">
        <f t="shared" si="3"/>
        <v>0</v>
      </c>
      <c r="O657" s="7">
        <f t="shared" si="4"/>
        <v>0</v>
      </c>
      <c r="P657" s="7">
        <f t="shared" si="5"/>
        <v>0</v>
      </c>
      <c r="R657" s="15"/>
      <c r="S657" s="15"/>
      <c r="T657" s="9">
        <f t="shared" si="7"/>
        <v>0</v>
      </c>
      <c r="U657" s="10"/>
      <c r="V657" s="9"/>
      <c r="W657" s="10"/>
      <c r="X657" s="13"/>
      <c r="Y657" s="13"/>
    </row>
    <row r="658" ht="31.5" customHeight="1">
      <c r="D658" s="6" t="str">
        <f t="shared" si="1"/>
        <v/>
      </c>
      <c r="H658" s="7"/>
      <c r="K658" s="7">
        <f t="shared" si="2"/>
        <v>0</v>
      </c>
      <c r="N658" s="7">
        <f t="shared" si="3"/>
        <v>0</v>
      </c>
      <c r="O658" s="7">
        <f t="shared" si="4"/>
        <v>0</v>
      </c>
      <c r="P658" s="7">
        <f t="shared" si="5"/>
        <v>0</v>
      </c>
      <c r="R658" s="15"/>
      <c r="S658" s="15"/>
      <c r="T658" s="9">
        <f t="shared" si="7"/>
        <v>0</v>
      </c>
      <c r="U658" s="10"/>
      <c r="V658" s="9"/>
      <c r="W658" s="10"/>
      <c r="X658" s="13"/>
      <c r="Y658" s="13"/>
    </row>
    <row r="659" ht="31.5" customHeight="1">
      <c r="D659" s="6" t="str">
        <f t="shared" si="1"/>
        <v/>
      </c>
      <c r="H659" s="7"/>
      <c r="K659" s="7">
        <f t="shared" si="2"/>
        <v>0</v>
      </c>
      <c r="N659" s="7">
        <f t="shared" si="3"/>
        <v>0</v>
      </c>
      <c r="O659" s="7">
        <f t="shared" si="4"/>
        <v>0</v>
      </c>
      <c r="P659" s="7">
        <f t="shared" si="5"/>
        <v>0</v>
      </c>
      <c r="R659" s="15"/>
      <c r="S659" s="15"/>
      <c r="T659" s="9">
        <f t="shared" si="7"/>
        <v>0</v>
      </c>
      <c r="U659" s="10"/>
      <c r="V659" s="9"/>
      <c r="W659" s="10"/>
      <c r="X659" s="13"/>
      <c r="Y659" s="13"/>
    </row>
    <row r="660" ht="31.5" customHeight="1">
      <c r="D660" s="6" t="str">
        <f t="shared" si="1"/>
        <v/>
      </c>
      <c r="H660" s="7"/>
      <c r="K660" s="7">
        <f t="shared" si="2"/>
        <v>0</v>
      </c>
      <c r="N660" s="7">
        <f t="shared" si="3"/>
        <v>0</v>
      </c>
      <c r="O660" s="7">
        <f t="shared" si="4"/>
        <v>0</v>
      </c>
      <c r="P660" s="7">
        <f t="shared" si="5"/>
        <v>0</v>
      </c>
      <c r="R660" s="15"/>
      <c r="S660" s="15"/>
      <c r="T660" s="9">
        <f t="shared" si="7"/>
        <v>0</v>
      </c>
      <c r="U660" s="10"/>
      <c r="V660" s="9"/>
      <c r="W660" s="10"/>
      <c r="X660" s="13"/>
      <c r="Y660" s="13"/>
    </row>
    <row r="661" ht="31.5" customHeight="1">
      <c r="D661" s="6" t="str">
        <f t="shared" si="1"/>
        <v/>
      </c>
      <c r="H661" s="7"/>
      <c r="K661" s="7">
        <f t="shared" si="2"/>
        <v>0</v>
      </c>
      <c r="N661" s="7">
        <f t="shared" si="3"/>
        <v>0</v>
      </c>
      <c r="O661" s="7">
        <f t="shared" si="4"/>
        <v>0</v>
      </c>
      <c r="P661" s="7">
        <f t="shared" si="5"/>
        <v>0</v>
      </c>
      <c r="R661" s="15"/>
      <c r="S661" s="15"/>
      <c r="T661" s="9">
        <f t="shared" si="7"/>
        <v>0</v>
      </c>
      <c r="U661" s="10"/>
      <c r="V661" s="9"/>
      <c r="W661" s="10"/>
      <c r="X661" s="13"/>
      <c r="Y661" s="13"/>
    </row>
    <row r="662" ht="31.5" customHeight="1">
      <c r="D662" s="6" t="str">
        <f t="shared" si="1"/>
        <v/>
      </c>
      <c r="H662" s="7"/>
      <c r="K662" s="7">
        <f t="shared" si="2"/>
        <v>0</v>
      </c>
      <c r="N662" s="7">
        <f t="shared" si="3"/>
        <v>0</v>
      </c>
      <c r="O662" s="7">
        <f t="shared" si="4"/>
        <v>0</v>
      </c>
      <c r="P662" s="7">
        <f t="shared" si="5"/>
        <v>0</v>
      </c>
      <c r="R662" s="15"/>
      <c r="S662" s="15"/>
      <c r="T662" s="9">
        <f t="shared" si="7"/>
        <v>0</v>
      </c>
      <c r="U662" s="10"/>
      <c r="V662" s="9"/>
      <c r="W662" s="10"/>
      <c r="X662" s="13"/>
      <c r="Y662" s="13"/>
    </row>
    <row r="663" ht="31.5" customHeight="1">
      <c r="D663" s="6" t="str">
        <f t="shared" si="1"/>
        <v/>
      </c>
      <c r="H663" s="7"/>
      <c r="K663" s="7">
        <f t="shared" si="2"/>
        <v>0</v>
      </c>
      <c r="N663" s="7">
        <f t="shared" si="3"/>
        <v>0</v>
      </c>
      <c r="O663" s="7">
        <f t="shared" si="4"/>
        <v>0</v>
      </c>
      <c r="P663" s="7">
        <f t="shared" si="5"/>
        <v>0</v>
      </c>
      <c r="R663" s="15"/>
      <c r="S663" s="15"/>
      <c r="T663" s="9">
        <f t="shared" si="7"/>
        <v>0</v>
      </c>
      <c r="U663" s="10"/>
      <c r="V663" s="9"/>
      <c r="W663" s="10"/>
      <c r="X663" s="13"/>
      <c r="Y663" s="13"/>
    </row>
    <row r="664" ht="31.5" customHeight="1">
      <c r="D664" s="6" t="str">
        <f t="shared" si="1"/>
        <v/>
      </c>
      <c r="H664" s="7"/>
      <c r="K664" s="7">
        <f t="shared" si="2"/>
        <v>0</v>
      </c>
      <c r="N664" s="7">
        <f t="shared" si="3"/>
        <v>0</v>
      </c>
      <c r="O664" s="7">
        <f t="shared" si="4"/>
        <v>0</v>
      </c>
      <c r="P664" s="7">
        <f t="shared" si="5"/>
        <v>0</v>
      </c>
      <c r="R664" s="15"/>
      <c r="S664" s="15"/>
      <c r="T664" s="9">
        <f t="shared" si="7"/>
        <v>0</v>
      </c>
      <c r="U664" s="10"/>
      <c r="V664" s="9"/>
      <c r="W664" s="10"/>
      <c r="X664" s="13"/>
      <c r="Y664" s="13"/>
    </row>
    <row r="665" ht="31.5" customHeight="1">
      <c r="D665" s="6" t="str">
        <f t="shared" si="1"/>
        <v/>
      </c>
      <c r="H665" s="7"/>
      <c r="K665" s="7">
        <f t="shared" si="2"/>
        <v>0</v>
      </c>
      <c r="N665" s="7">
        <f t="shared" si="3"/>
        <v>0</v>
      </c>
      <c r="O665" s="7">
        <f t="shared" si="4"/>
        <v>0</v>
      </c>
      <c r="P665" s="7">
        <f t="shared" si="5"/>
        <v>0</v>
      </c>
      <c r="R665" s="15"/>
      <c r="S665" s="15"/>
      <c r="T665" s="9">
        <f t="shared" si="7"/>
        <v>0</v>
      </c>
      <c r="U665" s="10"/>
      <c r="V665" s="9"/>
      <c r="W665" s="10"/>
      <c r="X665" s="13"/>
      <c r="Y665" s="13"/>
    </row>
    <row r="666" ht="31.5" customHeight="1">
      <c r="D666" s="6" t="str">
        <f t="shared" si="1"/>
        <v/>
      </c>
      <c r="H666" s="7"/>
      <c r="K666" s="7">
        <f t="shared" si="2"/>
        <v>0</v>
      </c>
      <c r="N666" s="7">
        <f t="shared" si="3"/>
        <v>0</v>
      </c>
      <c r="O666" s="7">
        <f t="shared" si="4"/>
        <v>0</v>
      </c>
      <c r="P666" s="7">
        <f t="shared" si="5"/>
        <v>0</v>
      </c>
      <c r="R666" s="15"/>
      <c r="S666" s="15"/>
      <c r="T666" s="9">
        <f t="shared" si="7"/>
        <v>0</v>
      </c>
      <c r="U666" s="10"/>
      <c r="V666" s="9"/>
      <c r="W666" s="10"/>
      <c r="X666" s="13"/>
      <c r="Y666" s="13"/>
    </row>
    <row r="667" ht="31.5" customHeight="1">
      <c r="D667" s="6" t="str">
        <f t="shared" si="1"/>
        <v/>
      </c>
      <c r="H667" s="7"/>
      <c r="K667" s="7">
        <f t="shared" si="2"/>
        <v>0</v>
      </c>
      <c r="N667" s="7">
        <f t="shared" si="3"/>
        <v>0</v>
      </c>
      <c r="O667" s="7">
        <f t="shared" si="4"/>
        <v>0</v>
      </c>
      <c r="P667" s="7">
        <f t="shared" si="5"/>
        <v>0</v>
      </c>
      <c r="R667" s="15"/>
      <c r="S667" s="15"/>
      <c r="T667" s="9">
        <f t="shared" si="7"/>
        <v>0</v>
      </c>
      <c r="U667" s="10"/>
      <c r="V667" s="9"/>
      <c r="W667" s="10"/>
      <c r="X667" s="13"/>
      <c r="Y667" s="13"/>
    </row>
    <row r="668" ht="31.5" customHeight="1">
      <c r="D668" s="6" t="str">
        <f t="shared" si="1"/>
        <v/>
      </c>
      <c r="H668" s="7"/>
      <c r="K668" s="7">
        <f t="shared" si="2"/>
        <v>0</v>
      </c>
      <c r="N668" s="7">
        <f t="shared" si="3"/>
        <v>0</v>
      </c>
      <c r="O668" s="7">
        <f t="shared" si="4"/>
        <v>0</v>
      </c>
      <c r="P668" s="7">
        <f t="shared" si="5"/>
        <v>0</v>
      </c>
      <c r="R668" s="15"/>
      <c r="S668" s="15"/>
      <c r="T668" s="9">
        <f t="shared" si="7"/>
        <v>0</v>
      </c>
      <c r="U668" s="10"/>
      <c r="V668" s="9"/>
      <c r="W668" s="10"/>
      <c r="X668" s="13"/>
      <c r="Y668" s="13"/>
    </row>
    <row r="669" ht="31.5" customHeight="1">
      <c r="D669" s="6" t="str">
        <f t="shared" si="1"/>
        <v/>
      </c>
      <c r="H669" s="7"/>
      <c r="K669" s="7">
        <f t="shared" si="2"/>
        <v>0</v>
      </c>
      <c r="N669" s="7">
        <f t="shared" si="3"/>
        <v>0</v>
      </c>
      <c r="O669" s="7">
        <f t="shared" si="4"/>
        <v>0</v>
      </c>
      <c r="P669" s="7">
        <f t="shared" si="5"/>
        <v>0</v>
      </c>
      <c r="R669" s="15"/>
      <c r="S669" s="15"/>
      <c r="T669" s="9">
        <f t="shared" si="7"/>
        <v>0</v>
      </c>
      <c r="U669" s="10"/>
      <c r="V669" s="9"/>
      <c r="W669" s="10"/>
      <c r="X669" s="13"/>
      <c r="Y669" s="13"/>
    </row>
    <row r="670" ht="31.5" customHeight="1">
      <c r="D670" s="6" t="str">
        <f t="shared" si="1"/>
        <v/>
      </c>
      <c r="H670" s="7"/>
      <c r="K670" s="7">
        <f t="shared" si="2"/>
        <v>0</v>
      </c>
      <c r="N670" s="7">
        <f t="shared" si="3"/>
        <v>0</v>
      </c>
      <c r="O670" s="7">
        <f t="shared" si="4"/>
        <v>0</v>
      </c>
      <c r="P670" s="7">
        <f t="shared" si="5"/>
        <v>0</v>
      </c>
      <c r="R670" s="15"/>
      <c r="S670" s="15"/>
      <c r="T670" s="9">
        <f t="shared" si="7"/>
        <v>0</v>
      </c>
      <c r="U670" s="10"/>
      <c r="V670" s="9"/>
      <c r="W670" s="10"/>
      <c r="X670" s="13"/>
      <c r="Y670" s="13"/>
    </row>
    <row r="671" ht="31.5" customHeight="1">
      <c r="D671" s="6" t="str">
        <f t="shared" si="1"/>
        <v/>
      </c>
      <c r="H671" s="7"/>
      <c r="K671" s="7">
        <f t="shared" si="2"/>
        <v>0</v>
      </c>
      <c r="N671" s="7">
        <f t="shared" si="3"/>
        <v>0</v>
      </c>
      <c r="O671" s="7">
        <f t="shared" si="4"/>
        <v>0</v>
      </c>
      <c r="P671" s="7">
        <f t="shared" si="5"/>
        <v>0</v>
      </c>
      <c r="R671" s="15"/>
      <c r="S671" s="15"/>
      <c r="T671" s="9">
        <f t="shared" si="7"/>
        <v>0</v>
      </c>
      <c r="U671" s="10"/>
      <c r="V671" s="9"/>
      <c r="W671" s="10"/>
      <c r="X671" s="13"/>
      <c r="Y671" s="13"/>
    </row>
    <row r="672" ht="31.5" customHeight="1">
      <c r="D672" s="6" t="str">
        <f t="shared" si="1"/>
        <v/>
      </c>
      <c r="H672" s="7"/>
      <c r="K672" s="7">
        <f t="shared" si="2"/>
        <v>0</v>
      </c>
      <c r="N672" s="7">
        <f t="shared" si="3"/>
        <v>0</v>
      </c>
      <c r="O672" s="7">
        <f t="shared" si="4"/>
        <v>0</v>
      </c>
      <c r="P672" s="7">
        <f t="shared" si="5"/>
        <v>0</v>
      </c>
      <c r="R672" s="15"/>
      <c r="S672" s="15"/>
      <c r="T672" s="9">
        <f t="shared" si="7"/>
        <v>0</v>
      </c>
      <c r="U672" s="10"/>
      <c r="V672" s="9"/>
      <c r="W672" s="10"/>
      <c r="X672" s="13"/>
      <c r="Y672" s="13"/>
    </row>
    <row r="673" ht="31.5" customHeight="1">
      <c r="D673" s="6" t="str">
        <f t="shared" si="1"/>
        <v/>
      </c>
      <c r="H673" s="7"/>
      <c r="K673" s="7">
        <f t="shared" si="2"/>
        <v>0</v>
      </c>
      <c r="N673" s="7">
        <f t="shared" si="3"/>
        <v>0</v>
      </c>
      <c r="O673" s="7">
        <f t="shared" si="4"/>
        <v>0</v>
      </c>
      <c r="P673" s="7">
        <f t="shared" si="5"/>
        <v>0</v>
      </c>
      <c r="R673" s="15"/>
      <c r="S673" s="15"/>
      <c r="T673" s="9">
        <f t="shared" si="7"/>
        <v>0</v>
      </c>
      <c r="U673" s="10"/>
      <c r="V673" s="9"/>
      <c r="W673" s="10"/>
      <c r="X673" s="13"/>
      <c r="Y673" s="13"/>
    </row>
    <row r="674" ht="31.5" customHeight="1">
      <c r="D674" s="6" t="str">
        <f t="shared" si="1"/>
        <v/>
      </c>
      <c r="H674" s="7"/>
      <c r="K674" s="7">
        <f t="shared" si="2"/>
        <v>0</v>
      </c>
      <c r="N674" s="7">
        <f t="shared" si="3"/>
        <v>0</v>
      </c>
      <c r="O674" s="7">
        <f t="shared" si="4"/>
        <v>0</v>
      </c>
      <c r="P674" s="7">
        <f t="shared" si="5"/>
        <v>0</v>
      </c>
      <c r="R674" s="15"/>
      <c r="S674" s="15"/>
      <c r="T674" s="9">
        <f t="shared" si="7"/>
        <v>0</v>
      </c>
      <c r="U674" s="10"/>
      <c r="V674" s="9"/>
      <c r="W674" s="10"/>
      <c r="X674" s="13"/>
      <c r="Y674" s="13"/>
    </row>
    <row r="675" ht="31.5" customHeight="1">
      <c r="D675" s="6" t="str">
        <f t="shared" si="1"/>
        <v/>
      </c>
      <c r="H675" s="7"/>
      <c r="K675" s="7">
        <f t="shared" si="2"/>
        <v>0</v>
      </c>
      <c r="N675" s="7">
        <f t="shared" si="3"/>
        <v>0</v>
      </c>
      <c r="O675" s="7">
        <f t="shared" si="4"/>
        <v>0</v>
      </c>
      <c r="P675" s="7">
        <f t="shared" si="5"/>
        <v>0</v>
      </c>
      <c r="R675" s="15"/>
      <c r="S675" s="15"/>
      <c r="T675" s="9">
        <f t="shared" si="7"/>
        <v>0</v>
      </c>
      <c r="U675" s="10"/>
      <c r="V675" s="9"/>
      <c r="W675" s="10"/>
      <c r="X675" s="13"/>
      <c r="Y675" s="13"/>
    </row>
    <row r="676" ht="31.5" customHeight="1">
      <c r="D676" s="6" t="str">
        <f t="shared" si="1"/>
        <v/>
      </c>
      <c r="H676" s="7"/>
      <c r="K676" s="7">
        <f t="shared" si="2"/>
        <v>0</v>
      </c>
      <c r="N676" s="7">
        <f t="shared" si="3"/>
        <v>0</v>
      </c>
      <c r="O676" s="7">
        <f t="shared" si="4"/>
        <v>0</v>
      </c>
      <c r="P676" s="7">
        <f t="shared" si="5"/>
        <v>0</v>
      </c>
      <c r="R676" s="15"/>
      <c r="S676" s="15"/>
      <c r="T676" s="9">
        <f t="shared" si="7"/>
        <v>0</v>
      </c>
      <c r="U676" s="10"/>
      <c r="V676" s="9"/>
      <c r="W676" s="10"/>
      <c r="X676" s="13"/>
      <c r="Y676" s="13"/>
    </row>
    <row r="677" ht="31.5" customHeight="1">
      <c r="D677" s="6" t="str">
        <f t="shared" si="1"/>
        <v/>
      </c>
      <c r="H677" s="7"/>
      <c r="K677" s="7">
        <f t="shared" si="2"/>
        <v>0</v>
      </c>
      <c r="N677" s="7">
        <f t="shared" si="3"/>
        <v>0</v>
      </c>
      <c r="O677" s="7">
        <f t="shared" si="4"/>
        <v>0</v>
      </c>
      <c r="P677" s="7">
        <f t="shared" si="5"/>
        <v>0</v>
      </c>
      <c r="R677" s="15"/>
      <c r="S677" s="15"/>
      <c r="T677" s="9">
        <f t="shared" si="7"/>
        <v>0</v>
      </c>
      <c r="U677" s="10"/>
      <c r="V677" s="9"/>
      <c r="W677" s="10"/>
      <c r="X677" s="13"/>
      <c r="Y677" s="13"/>
    </row>
    <row r="678" ht="31.5" customHeight="1">
      <c r="D678" s="6" t="str">
        <f t="shared" si="1"/>
        <v/>
      </c>
      <c r="H678" s="7"/>
      <c r="K678" s="7">
        <f t="shared" si="2"/>
        <v>0</v>
      </c>
      <c r="N678" s="7">
        <f t="shared" si="3"/>
        <v>0</v>
      </c>
      <c r="O678" s="7">
        <f t="shared" si="4"/>
        <v>0</v>
      </c>
      <c r="P678" s="7">
        <f t="shared" si="5"/>
        <v>0</v>
      </c>
      <c r="R678" s="15"/>
      <c r="S678" s="15"/>
      <c r="T678" s="9">
        <f t="shared" si="7"/>
        <v>0</v>
      </c>
      <c r="U678" s="10"/>
      <c r="V678" s="9"/>
      <c r="W678" s="10"/>
      <c r="X678" s="13"/>
      <c r="Y678" s="13"/>
    </row>
    <row r="679" ht="31.5" customHeight="1">
      <c r="D679" s="6" t="str">
        <f t="shared" si="1"/>
        <v/>
      </c>
      <c r="H679" s="7"/>
      <c r="K679" s="7">
        <f t="shared" si="2"/>
        <v>0</v>
      </c>
      <c r="N679" s="7">
        <f t="shared" si="3"/>
        <v>0</v>
      </c>
      <c r="O679" s="7">
        <f t="shared" si="4"/>
        <v>0</v>
      </c>
      <c r="P679" s="7">
        <f t="shared" si="5"/>
        <v>0</v>
      </c>
      <c r="R679" s="15"/>
      <c r="S679" s="15"/>
      <c r="T679" s="9">
        <f t="shared" si="7"/>
        <v>0</v>
      </c>
      <c r="U679" s="10"/>
      <c r="V679" s="9"/>
      <c r="W679" s="10"/>
      <c r="X679" s="13"/>
      <c r="Y679" s="13"/>
    </row>
    <row r="680" ht="31.5" customHeight="1">
      <c r="D680" s="6" t="str">
        <f t="shared" si="1"/>
        <v/>
      </c>
      <c r="H680" s="7"/>
      <c r="K680" s="7">
        <f t="shared" si="2"/>
        <v>0</v>
      </c>
      <c r="N680" s="7">
        <f t="shared" si="3"/>
        <v>0</v>
      </c>
      <c r="O680" s="7">
        <f t="shared" si="4"/>
        <v>0</v>
      </c>
      <c r="P680" s="7">
        <f t="shared" si="5"/>
        <v>0</v>
      </c>
      <c r="R680" s="15"/>
      <c r="S680" s="15"/>
      <c r="T680" s="9">
        <f t="shared" si="7"/>
        <v>0</v>
      </c>
      <c r="U680" s="10"/>
      <c r="V680" s="9"/>
      <c r="W680" s="10"/>
      <c r="X680" s="13"/>
      <c r="Y680" s="13"/>
    </row>
    <row r="681" ht="31.5" customHeight="1">
      <c r="D681" s="6" t="str">
        <f t="shared" si="1"/>
        <v/>
      </c>
      <c r="H681" s="7"/>
      <c r="K681" s="7">
        <f t="shared" si="2"/>
        <v>0</v>
      </c>
      <c r="N681" s="7">
        <f t="shared" si="3"/>
        <v>0</v>
      </c>
      <c r="O681" s="7">
        <f t="shared" si="4"/>
        <v>0</v>
      </c>
      <c r="P681" s="7">
        <f t="shared" si="5"/>
        <v>0</v>
      </c>
      <c r="R681" s="15"/>
      <c r="S681" s="15"/>
      <c r="T681" s="9">
        <f t="shared" si="7"/>
        <v>0</v>
      </c>
      <c r="U681" s="10"/>
      <c r="V681" s="9"/>
      <c r="W681" s="10"/>
      <c r="X681" s="13"/>
      <c r="Y681" s="13"/>
    </row>
    <row r="682" ht="31.5" customHeight="1">
      <c r="D682" s="6" t="str">
        <f t="shared" si="1"/>
        <v/>
      </c>
      <c r="H682" s="7"/>
      <c r="K682" s="7">
        <f t="shared" si="2"/>
        <v>0</v>
      </c>
      <c r="N682" s="7">
        <f t="shared" si="3"/>
        <v>0</v>
      </c>
      <c r="O682" s="7">
        <f t="shared" si="4"/>
        <v>0</v>
      </c>
      <c r="P682" s="7">
        <f t="shared" si="5"/>
        <v>0</v>
      </c>
      <c r="R682" s="15"/>
      <c r="S682" s="15"/>
      <c r="T682" s="9">
        <f t="shared" si="7"/>
        <v>0</v>
      </c>
      <c r="U682" s="10"/>
      <c r="V682" s="9"/>
      <c r="W682" s="10"/>
      <c r="X682" s="13"/>
      <c r="Y682" s="13"/>
    </row>
    <row r="683" ht="31.5" customHeight="1">
      <c r="D683" s="6" t="str">
        <f t="shared" si="1"/>
        <v/>
      </c>
      <c r="H683" s="7"/>
      <c r="K683" s="7">
        <f t="shared" si="2"/>
        <v>0</v>
      </c>
      <c r="N683" s="7">
        <f t="shared" si="3"/>
        <v>0</v>
      </c>
      <c r="O683" s="7">
        <f t="shared" si="4"/>
        <v>0</v>
      </c>
      <c r="P683" s="7">
        <f t="shared" si="5"/>
        <v>0</v>
      </c>
      <c r="R683" s="15"/>
      <c r="S683" s="15"/>
      <c r="T683" s="9">
        <f t="shared" si="7"/>
        <v>0</v>
      </c>
      <c r="U683" s="10"/>
      <c r="V683" s="9"/>
      <c r="W683" s="10"/>
      <c r="X683" s="13"/>
      <c r="Y683" s="13"/>
    </row>
    <row r="684" ht="31.5" customHeight="1">
      <c r="D684" s="6" t="str">
        <f t="shared" si="1"/>
        <v/>
      </c>
      <c r="H684" s="7"/>
      <c r="K684" s="7">
        <f t="shared" si="2"/>
        <v>0</v>
      </c>
      <c r="N684" s="7">
        <f t="shared" si="3"/>
        <v>0</v>
      </c>
      <c r="O684" s="7">
        <f t="shared" si="4"/>
        <v>0</v>
      </c>
      <c r="P684" s="7">
        <f t="shared" si="5"/>
        <v>0</v>
      </c>
      <c r="R684" s="15"/>
      <c r="S684" s="15"/>
      <c r="T684" s="9">
        <f t="shared" si="7"/>
        <v>0</v>
      </c>
      <c r="U684" s="10"/>
      <c r="V684" s="9"/>
      <c r="W684" s="10"/>
      <c r="X684" s="13"/>
      <c r="Y684" s="13"/>
    </row>
    <row r="685" ht="31.5" customHeight="1">
      <c r="D685" s="6" t="str">
        <f t="shared" si="1"/>
        <v/>
      </c>
      <c r="H685" s="7"/>
      <c r="K685" s="7">
        <f t="shared" si="2"/>
        <v>0</v>
      </c>
      <c r="N685" s="7">
        <f t="shared" si="3"/>
        <v>0</v>
      </c>
      <c r="O685" s="7">
        <f t="shared" si="4"/>
        <v>0</v>
      </c>
      <c r="P685" s="7">
        <f t="shared" si="5"/>
        <v>0</v>
      </c>
      <c r="R685" s="15"/>
      <c r="S685" s="15"/>
      <c r="T685" s="9">
        <f t="shared" si="7"/>
        <v>0</v>
      </c>
      <c r="U685" s="10"/>
      <c r="V685" s="9"/>
      <c r="W685" s="10"/>
      <c r="X685" s="13"/>
      <c r="Y685" s="13"/>
    </row>
    <row r="686" ht="31.5" customHeight="1">
      <c r="D686" s="6" t="str">
        <f t="shared" si="1"/>
        <v/>
      </c>
      <c r="H686" s="7"/>
      <c r="K686" s="7">
        <f t="shared" si="2"/>
        <v>0</v>
      </c>
      <c r="N686" s="7">
        <f t="shared" si="3"/>
        <v>0</v>
      </c>
      <c r="O686" s="7">
        <f t="shared" si="4"/>
        <v>0</v>
      </c>
      <c r="P686" s="7">
        <f t="shared" si="5"/>
        <v>0</v>
      </c>
      <c r="R686" s="15"/>
      <c r="S686" s="15"/>
      <c r="T686" s="9">
        <f t="shared" si="7"/>
        <v>0</v>
      </c>
      <c r="U686" s="10"/>
      <c r="V686" s="9"/>
      <c r="W686" s="10"/>
      <c r="X686" s="13"/>
      <c r="Y686" s="13"/>
    </row>
    <row r="687" ht="31.5" customHeight="1">
      <c r="D687" s="6" t="str">
        <f t="shared" si="1"/>
        <v/>
      </c>
      <c r="H687" s="7"/>
      <c r="K687" s="7">
        <f t="shared" si="2"/>
        <v>0</v>
      </c>
      <c r="N687" s="7">
        <f t="shared" si="3"/>
        <v>0</v>
      </c>
      <c r="O687" s="7">
        <f t="shared" si="4"/>
        <v>0</v>
      </c>
      <c r="P687" s="7">
        <f t="shared" si="5"/>
        <v>0</v>
      </c>
      <c r="R687" s="15"/>
      <c r="S687" s="15"/>
      <c r="T687" s="9">
        <f t="shared" si="7"/>
        <v>0</v>
      </c>
      <c r="U687" s="10"/>
      <c r="V687" s="9"/>
      <c r="W687" s="10"/>
      <c r="X687" s="13"/>
      <c r="Y687" s="13"/>
    </row>
    <row r="688" ht="31.5" customHeight="1">
      <c r="D688" s="6" t="str">
        <f t="shared" si="1"/>
        <v/>
      </c>
      <c r="H688" s="7"/>
      <c r="K688" s="7">
        <f t="shared" si="2"/>
        <v>0</v>
      </c>
      <c r="N688" s="7">
        <f t="shared" si="3"/>
        <v>0</v>
      </c>
      <c r="O688" s="7">
        <f t="shared" si="4"/>
        <v>0</v>
      </c>
      <c r="P688" s="7">
        <f t="shared" si="5"/>
        <v>0</v>
      </c>
      <c r="R688" s="15"/>
      <c r="S688" s="15"/>
      <c r="T688" s="9">
        <f t="shared" si="7"/>
        <v>0</v>
      </c>
      <c r="U688" s="10"/>
      <c r="V688" s="9"/>
      <c r="W688" s="10"/>
      <c r="X688" s="13"/>
      <c r="Y688" s="13"/>
    </row>
    <row r="689" ht="31.5" customHeight="1">
      <c r="D689" s="6" t="str">
        <f t="shared" si="1"/>
        <v/>
      </c>
      <c r="H689" s="7"/>
      <c r="K689" s="7">
        <f t="shared" si="2"/>
        <v>0</v>
      </c>
      <c r="N689" s="7">
        <f t="shared" si="3"/>
        <v>0</v>
      </c>
      <c r="O689" s="7">
        <f t="shared" si="4"/>
        <v>0</v>
      </c>
      <c r="P689" s="7">
        <f t="shared" si="5"/>
        <v>0</v>
      </c>
      <c r="R689" s="15"/>
      <c r="S689" s="15"/>
      <c r="T689" s="9">
        <f t="shared" si="7"/>
        <v>0</v>
      </c>
      <c r="U689" s="10"/>
      <c r="V689" s="9"/>
      <c r="W689" s="10"/>
      <c r="X689" s="13"/>
      <c r="Y689" s="13"/>
    </row>
    <row r="690" ht="31.5" customHeight="1">
      <c r="D690" s="6" t="str">
        <f t="shared" si="1"/>
        <v/>
      </c>
      <c r="H690" s="7"/>
      <c r="K690" s="7">
        <f t="shared" si="2"/>
        <v>0</v>
      </c>
      <c r="N690" s="7">
        <f t="shared" si="3"/>
        <v>0</v>
      </c>
      <c r="O690" s="7">
        <f t="shared" si="4"/>
        <v>0</v>
      </c>
      <c r="P690" s="7">
        <f t="shared" si="5"/>
        <v>0</v>
      </c>
      <c r="R690" s="15"/>
      <c r="S690" s="15"/>
      <c r="T690" s="9">
        <f t="shared" si="7"/>
        <v>0</v>
      </c>
      <c r="U690" s="10"/>
      <c r="V690" s="9"/>
      <c r="W690" s="10"/>
      <c r="X690" s="13"/>
      <c r="Y690" s="13"/>
    </row>
    <row r="691" ht="31.5" customHeight="1">
      <c r="D691" s="6" t="str">
        <f t="shared" si="1"/>
        <v/>
      </c>
      <c r="H691" s="7"/>
      <c r="K691" s="7">
        <f t="shared" si="2"/>
        <v>0</v>
      </c>
      <c r="N691" s="7">
        <f t="shared" si="3"/>
        <v>0</v>
      </c>
      <c r="O691" s="7">
        <f t="shared" si="4"/>
        <v>0</v>
      </c>
      <c r="P691" s="7">
        <f t="shared" si="5"/>
        <v>0</v>
      </c>
      <c r="R691" s="15"/>
      <c r="S691" s="15"/>
      <c r="T691" s="9">
        <f t="shared" si="7"/>
        <v>0</v>
      </c>
      <c r="U691" s="10"/>
      <c r="V691" s="9"/>
      <c r="W691" s="10"/>
      <c r="X691" s="13"/>
      <c r="Y691" s="13"/>
    </row>
    <row r="692" ht="31.5" customHeight="1">
      <c r="D692" s="6" t="str">
        <f t="shared" si="1"/>
        <v/>
      </c>
      <c r="H692" s="7"/>
      <c r="K692" s="7">
        <f t="shared" si="2"/>
        <v>0</v>
      </c>
      <c r="N692" s="7">
        <f t="shared" si="3"/>
        <v>0</v>
      </c>
      <c r="O692" s="7">
        <f t="shared" si="4"/>
        <v>0</v>
      </c>
      <c r="P692" s="7">
        <f t="shared" si="5"/>
        <v>0</v>
      </c>
      <c r="R692" s="15"/>
      <c r="S692" s="15"/>
      <c r="T692" s="9">
        <f t="shared" si="7"/>
        <v>0</v>
      </c>
      <c r="U692" s="10"/>
      <c r="V692" s="9"/>
      <c r="W692" s="10"/>
      <c r="X692" s="13"/>
      <c r="Y692" s="13"/>
    </row>
    <row r="693" ht="31.5" customHeight="1">
      <c r="D693" s="6" t="str">
        <f t="shared" si="1"/>
        <v/>
      </c>
      <c r="H693" s="7"/>
      <c r="K693" s="7">
        <f t="shared" si="2"/>
        <v>0</v>
      </c>
      <c r="N693" s="7">
        <f t="shared" si="3"/>
        <v>0</v>
      </c>
      <c r="O693" s="7">
        <f t="shared" si="4"/>
        <v>0</v>
      </c>
      <c r="P693" s="7">
        <f t="shared" si="5"/>
        <v>0</v>
      </c>
      <c r="R693" s="15"/>
      <c r="S693" s="15"/>
      <c r="T693" s="9">
        <f t="shared" si="7"/>
        <v>0</v>
      </c>
      <c r="U693" s="10"/>
      <c r="V693" s="9"/>
      <c r="W693" s="10"/>
      <c r="X693" s="13"/>
      <c r="Y693" s="13"/>
    </row>
    <row r="694" ht="31.5" customHeight="1">
      <c r="D694" s="6" t="str">
        <f t="shared" si="1"/>
        <v/>
      </c>
      <c r="H694" s="7"/>
      <c r="K694" s="7">
        <f t="shared" si="2"/>
        <v>0</v>
      </c>
      <c r="N694" s="7">
        <f t="shared" si="3"/>
        <v>0</v>
      </c>
      <c r="O694" s="7">
        <f t="shared" si="4"/>
        <v>0</v>
      </c>
      <c r="P694" s="7">
        <f t="shared" si="5"/>
        <v>0</v>
      </c>
      <c r="R694" s="15"/>
      <c r="S694" s="15"/>
      <c r="T694" s="9">
        <f t="shared" si="7"/>
        <v>0</v>
      </c>
      <c r="U694" s="10"/>
      <c r="V694" s="9"/>
      <c r="W694" s="10"/>
      <c r="X694" s="13"/>
      <c r="Y694" s="13"/>
    </row>
    <row r="695" ht="31.5" customHeight="1">
      <c r="D695" s="6" t="str">
        <f t="shared" si="1"/>
        <v/>
      </c>
      <c r="H695" s="7"/>
      <c r="K695" s="7">
        <f t="shared" si="2"/>
        <v>0</v>
      </c>
      <c r="N695" s="7">
        <f t="shared" si="3"/>
        <v>0</v>
      </c>
      <c r="O695" s="7">
        <f t="shared" si="4"/>
        <v>0</v>
      </c>
      <c r="P695" s="7">
        <f t="shared" si="5"/>
        <v>0</v>
      </c>
      <c r="R695" s="15"/>
      <c r="S695" s="15"/>
      <c r="T695" s="9">
        <f t="shared" si="7"/>
        <v>0</v>
      </c>
      <c r="U695" s="10"/>
      <c r="V695" s="9"/>
      <c r="W695" s="10"/>
      <c r="X695" s="13"/>
      <c r="Y695" s="13"/>
    </row>
    <row r="696" ht="31.5" customHeight="1">
      <c r="D696" s="6" t="str">
        <f t="shared" si="1"/>
        <v/>
      </c>
      <c r="H696" s="7"/>
      <c r="K696" s="7">
        <f t="shared" si="2"/>
        <v>0</v>
      </c>
      <c r="N696" s="7">
        <f t="shared" si="3"/>
        <v>0</v>
      </c>
      <c r="O696" s="7">
        <f t="shared" si="4"/>
        <v>0</v>
      </c>
      <c r="P696" s="7">
        <f t="shared" si="5"/>
        <v>0</v>
      </c>
      <c r="R696" s="15"/>
      <c r="S696" s="15"/>
      <c r="T696" s="9">
        <f t="shared" si="7"/>
        <v>0</v>
      </c>
      <c r="U696" s="10"/>
      <c r="V696" s="9"/>
      <c r="W696" s="10"/>
      <c r="X696" s="13"/>
      <c r="Y696" s="13"/>
    </row>
    <row r="697" ht="31.5" customHeight="1">
      <c r="D697" s="6" t="str">
        <f t="shared" si="1"/>
        <v/>
      </c>
      <c r="H697" s="7"/>
      <c r="K697" s="7">
        <f t="shared" si="2"/>
        <v>0</v>
      </c>
      <c r="N697" s="7">
        <f t="shared" si="3"/>
        <v>0</v>
      </c>
      <c r="O697" s="7">
        <f t="shared" si="4"/>
        <v>0</v>
      </c>
      <c r="P697" s="7">
        <f t="shared" si="5"/>
        <v>0</v>
      </c>
      <c r="R697" s="15"/>
      <c r="S697" s="15"/>
      <c r="T697" s="9">
        <f t="shared" si="7"/>
        <v>0</v>
      </c>
      <c r="U697" s="10"/>
      <c r="V697" s="9"/>
      <c r="W697" s="10"/>
      <c r="X697" s="13"/>
      <c r="Y697" s="13"/>
    </row>
    <row r="698" ht="31.5" customHeight="1">
      <c r="D698" s="6" t="str">
        <f t="shared" si="1"/>
        <v/>
      </c>
      <c r="H698" s="7"/>
      <c r="K698" s="7">
        <f t="shared" si="2"/>
        <v>0</v>
      </c>
      <c r="N698" s="7">
        <f t="shared" si="3"/>
        <v>0</v>
      </c>
      <c r="O698" s="7">
        <f t="shared" si="4"/>
        <v>0</v>
      </c>
      <c r="P698" s="7">
        <f t="shared" si="5"/>
        <v>0</v>
      </c>
      <c r="R698" s="15"/>
      <c r="S698" s="15"/>
      <c r="T698" s="9">
        <f t="shared" si="7"/>
        <v>0</v>
      </c>
      <c r="U698" s="10"/>
      <c r="V698" s="9"/>
      <c r="W698" s="10"/>
      <c r="X698" s="13"/>
      <c r="Y698" s="13"/>
    </row>
    <row r="699" ht="31.5" customHeight="1">
      <c r="D699" s="6" t="str">
        <f t="shared" si="1"/>
        <v/>
      </c>
      <c r="H699" s="7"/>
      <c r="K699" s="7">
        <f t="shared" si="2"/>
        <v>0</v>
      </c>
      <c r="N699" s="7">
        <f t="shared" si="3"/>
        <v>0</v>
      </c>
      <c r="O699" s="7">
        <f t="shared" si="4"/>
        <v>0</v>
      </c>
      <c r="P699" s="7">
        <f t="shared" si="5"/>
        <v>0</v>
      </c>
      <c r="R699" s="15"/>
      <c r="S699" s="15"/>
      <c r="T699" s="9">
        <f t="shared" si="7"/>
        <v>0</v>
      </c>
      <c r="U699" s="10"/>
      <c r="V699" s="9"/>
      <c r="W699" s="10"/>
      <c r="X699" s="13"/>
      <c r="Y699" s="13"/>
    </row>
    <row r="700" ht="31.5" customHeight="1">
      <c r="D700" s="6" t="str">
        <f t="shared" si="1"/>
        <v/>
      </c>
      <c r="H700" s="7"/>
      <c r="K700" s="7">
        <f t="shared" si="2"/>
        <v>0</v>
      </c>
      <c r="N700" s="7">
        <f t="shared" si="3"/>
        <v>0</v>
      </c>
      <c r="O700" s="7">
        <f t="shared" si="4"/>
        <v>0</v>
      </c>
      <c r="P700" s="7">
        <f t="shared" si="5"/>
        <v>0</v>
      </c>
      <c r="R700" s="15"/>
      <c r="S700" s="15"/>
      <c r="T700" s="9">
        <f t="shared" si="7"/>
        <v>0</v>
      </c>
      <c r="U700" s="10"/>
      <c r="V700" s="9"/>
      <c r="W700" s="10"/>
      <c r="X700" s="13"/>
      <c r="Y700" s="13"/>
    </row>
    <row r="701" ht="31.5" customHeight="1">
      <c r="D701" s="6" t="str">
        <f t="shared" si="1"/>
        <v/>
      </c>
      <c r="H701" s="7"/>
      <c r="K701" s="7">
        <f t="shared" si="2"/>
        <v>0</v>
      </c>
      <c r="N701" s="7">
        <f t="shared" si="3"/>
        <v>0</v>
      </c>
      <c r="O701" s="7">
        <f t="shared" si="4"/>
        <v>0</v>
      </c>
      <c r="P701" s="7">
        <f t="shared" si="5"/>
        <v>0</v>
      </c>
      <c r="R701" s="15"/>
      <c r="S701" s="15"/>
      <c r="T701" s="9">
        <f t="shared" si="7"/>
        <v>0</v>
      </c>
      <c r="U701" s="10"/>
      <c r="V701" s="9"/>
      <c r="W701" s="10"/>
      <c r="X701" s="13"/>
      <c r="Y701" s="13"/>
    </row>
    <row r="702" ht="31.5" customHeight="1">
      <c r="D702" s="6" t="str">
        <f t="shared" si="1"/>
        <v/>
      </c>
      <c r="H702" s="7"/>
      <c r="K702" s="7">
        <f t="shared" si="2"/>
        <v>0</v>
      </c>
      <c r="N702" s="7">
        <f t="shared" si="3"/>
        <v>0</v>
      </c>
      <c r="O702" s="7">
        <f t="shared" si="4"/>
        <v>0</v>
      </c>
      <c r="P702" s="7">
        <f t="shared" si="5"/>
        <v>0</v>
      </c>
      <c r="R702" s="15"/>
      <c r="S702" s="15"/>
      <c r="T702" s="9">
        <f t="shared" si="7"/>
        <v>0</v>
      </c>
      <c r="U702" s="10"/>
      <c r="V702" s="9"/>
      <c r="W702" s="10"/>
      <c r="X702" s="13"/>
      <c r="Y702" s="13"/>
    </row>
    <row r="703" ht="31.5" customHeight="1">
      <c r="D703" s="6" t="str">
        <f t="shared" si="1"/>
        <v/>
      </c>
      <c r="H703" s="7"/>
      <c r="K703" s="7">
        <f t="shared" si="2"/>
        <v>0</v>
      </c>
      <c r="N703" s="7">
        <f t="shared" si="3"/>
        <v>0</v>
      </c>
      <c r="O703" s="7">
        <f t="shared" si="4"/>
        <v>0</v>
      </c>
      <c r="P703" s="7">
        <f t="shared" si="5"/>
        <v>0</v>
      </c>
      <c r="R703" s="15"/>
      <c r="S703" s="15"/>
      <c r="T703" s="9">
        <f t="shared" si="7"/>
        <v>0</v>
      </c>
      <c r="U703" s="10"/>
      <c r="V703" s="9"/>
      <c r="W703" s="10"/>
      <c r="X703" s="13"/>
      <c r="Y703" s="13"/>
    </row>
    <row r="704" ht="31.5" customHeight="1">
      <c r="D704" s="6" t="str">
        <f t="shared" si="1"/>
        <v/>
      </c>
      <c r="H704" s="7"/>
      <c r="K704" s="7">
        <f t="shared" si="2"/>
        <v>0</v>
      </c>
      <c r="N704" s="7">
        <f t="shared" si="3"/>
        <v>0</v>
      </c>
      <c r="O704" s="7">
        <f t="shared" si="4"/>
        <v>0</v>
      </c>
      <c r="P704" s="7">
        <f t="shared" si="5"/>
        <v>0</v>
      </c>
      <c r="R704" s="15"/>
      <c r="S704" s="15"/>
      <c r="T704" s="9">
        <f t="shared" si="7"/>
        <v>0</v>
      </c>
      <c r="U704" s="10"/>
      <c r="V704" s="9"/>
      <c r="W704" s="10"/>
      <c r="X704" s="13"/>
      <c r="Y704" s="13"/>
    </row>
    <row r="705" ht="31.5" customHeight="1">
      <c r="D705" s="6" t="str">
        <f t="shared" si="1"/>
        <v/>
      </c>
      <c r="H705" s="7"/>
      <c r="K705" s="7">
        <f t="shared" si="2"/>
        <v>0</v>
      </c>
      <c r="N705" s="7">
        <f t="shared" si="3"/>
        <v>0</v>
      </c>
      <c r="O705" s="7">
        <f t="shared" si="4"/>
        <v>0</v>
      </c>
      <c r="P705" s="7">
        <f t="shared" si="5"/>
        <v>0</v>
      </c>
      <c r="R705" s="15"/>
      <c r="S705" s="15"/>
      <c r="T705" s="9">
        <f t="shared" si="7"/>
        <v>0</v>
      </c>
      <c r="U705" s="10"/>
      <c r="V705" s="9"/>
      <c r="W705" s="10"/>
      <c r="X705" s="13"/>
      <c r="Y705" s="13"/>
    </row>
    <row r="706" ht="31.5" customHeight="1">
      <c r="D706" s="6" t="str">
        <f t="shared" si="1"/>
        <v/>
      </c>
      <c r="H706" s="7"/>
      <c r="K706" s="7">
        <f t="shared" si="2"/>
        <v>0</v>
      </c>
      <c r="N706" s="7">
        <f t="shared" si="3"/>
        <v>0</v>
      </c>
      <c r="O706" s="7">
        <f t="shared" si="4"/>
        <v>0</v>
      </c>
      <c r="P706" s="7">
        <f t="shared" si="5"/>
        <v>0</v>
      </c>
      <c r="R706" s="15"/>
      <c r="S706" s="15"/>
      <c r="T706" s="9">
        <f t="shared" si="7"/>
        <v>0</v>
      </c>
      <c r="U706" s="10"/>
      <c r="V706" s="9"/>
      <c r="W706" s="10"/>
      <c r="X706" s="13"/>
      <c r="Y706" s="13"/>
    </row>
    <row r="707" ht="31.5" customHeight="1">
      <c r="D707" s="6" t="str">
        <f t="shared" si="1"/>
        <v/>
      </c>
      <c r="H707" s="7"/>
      <c r="K707" s="7">
        <f t="shared" si="2"/>
        <v>0</v>
      </c>
      <c r="N707" s="7">
        <f t="shared" si="3"/>
        <v>0</v>
      </c>
      <c r="O707" s="7">
        <f t="shared" si="4"/>
        <v>0</v>
      </c>
      <c r="P707" s="7">
        <f t="shared" si="5"/>
        <v>0</v>
      </c>
      <c r="R707" s="15"/>
      <c r="S707" s="15"/>
      <c r="T707" s="9">
        <f t="shared" si="7"/>
        <v>0</v>
      </c>
      <c r="U707" s="10"/>
      <c r="V707" s="9"/>
      <c r="W707" s="10"/>
      <c r="X707" s="13"/>
      <c r="Y707" s="13"/>
    </row>
    <row r="708" ht="31.5" customHeight="1">
      <c r="D708" s="6" t="str">
        <f t="shared" si="1"/>
        <v/>
      </c>
      <c r="H708" s="7"/>
      <c r="K708" s="7">
        <f t="shared" si="2"/>
        <v>0</v>
      </c>
      <c r="N708" s="7">
        <f t="shared" si="3"/>
        <v>0</v>
      </c>
      <c r="O708" s="7">
        <f t="shared" si="4"/>
        <v>0</v>
      </c>
      <c r="P708" s="7">
        <f t="shared" si="5"/>
        <v>0</v>
      </c>
      <c r="R708" s="15"/>
      <c r="S708" s="15"/>
      <c r="T708" s="9">
        <f t="shared" si="7"/>
        <v>0</v>
      </c>
      <c r="U708" s="10"/>
      <c r="V708" s="9"/>
      <c r="W708" s="10"/>
      <c r="X708" s="13"/>
      <c r="Y708" s="13"/>
    </row>
    <row r="709" ht="31.5" customHeight="1">
      <c r="D709" s="6" t="str">
        <f t="shared" si="1"/>
        <v/>
      </c>
      <c r="H709" s="7"/>
      <c r="K709" s="7">
        <f t="shared" si="2"/>
        <v>0</v>
      </c>
      <c r="N709" s="7">
        <f t="shared" si="3"/>
        <v>0</v>
      </c>
      <c r="O709" s="7">
        <f t="shared" si="4"/>
        <v>0</v>
      </c>
      <c r="P709" s="7">
        <f t="shared" si="5"/>
        <v>0</v>
      </c>
      <c r="R709" s="15"/>
      <c r="S709" s="15"/>
      <c r="U709" s="16"/>
      <c r="W709" s="16"/>
      <c r="X709" s="13"/>
      <c r="Y709" s="13"/>
    </row>
    <row r="710" ht="31.5" customHeight="1">
      <c r="D710" s="6" t="str">
        <f t="shared" si="1"/>
        <v/>
      </c>
      <c r="H710" s="7"/>
      <c r="K710" s="7">
        <f t="shared" si="2"/>
        <v>0</v>
      </c>
      <c r="N710" s="7">
        <f t="shared" si="3"/>
        <v>0</v>
      </c>
      <c r="O710" s="7">
        <f t="shared" si="4"/>
        <v>0</v>
      </c>
      <c r="P710" s="7">
        <f t="shared" si="5"/>
        <v>0</v>
      </c>
      <c r="R710" s="15"/>
      <c r="S710" s="15"/>
      <c r="U710" s="16"/>
      <c r="W710" s="16"/>
      <c r="X710" s="13"/>
      <c r="Y710" s="13"/>
    </row>
    <row r="711" ht="31.5" customHeight="1">
      <c r="D711" s="6" t="str">
        <f t="shared" si="1"/>
        <v/>
      </c>
      <c r="H711" s="7"/>
      <c r="K711" s="7">
        <f t="shared" si="2"/>
        <v>0</v>
      </c>
      <c r="N711" s="7">
        <f t="shared" si="3"/>
        <v>0</v>
      </c>
      <c r="O711" s="7">
        <f t="shared" si="4"/>
        <v>0</v>
      </c>
      <c r="P711" s="7">
        <f t="shared" si="5"/>
        <v>0</v>
      </c>
      <c r="R711" s="15"/>
      <c r="S711" s="15"/>
      <c r="U711" s="16"/>
      <c r="W711" s="16"/>
      <c r="X711" s="13"/>
      <c r="Y711" s="13"/>
    </row>
    <row r="712" ht="31.5" customHeight="1">
      <c r="D712" s="6" t="str">
        <f t="shared" si="1"/>
        <v/>
      </c>
      <c r="H712" s="7"/>
      <c r="K712" s="7">
        <f t="shared" si="2"/>
        <v>0</v>
      </c>
      <c r="N712" s="7">
        <f t="shared" si="3"/>
        <v>0</v>
      </c>
      <c r="O712" s="7">
        <f t="shared" si="4"/>
        <v>0</v>
      </c>
      <c r="P712" s="7">
        <f t="shared" si="5"/>
        <v>0</v>
      </c>
      <c r="R712" s="15"/>
      <c r="S712" s="15"/>
      <c r="U712" s="16"/>
      <c r="W712" s="16"/>
      <c r="X712" s="13"/>
      <c r="Y712" s="13"/>
    </row>
    <row r="713" ht="31.5" customHeight="1">
      <c r="D713" s="6" t="str">
        <f t="shared" si="1"/>
        <v/>
      </c>
      <c r="H713" s="7"/>
      <c r="K713" s="7">
        <f t="shared" si="2"/>
        <v>0</v>
      </c>
      <c r="N713" s="7">
        <f t="shared" si="3"/>
        <v>0</v>
      </c>
      <c r="O713" s="7">
        <f t="shared" si="4"/>
        <v>0</v>
      </c>
      <c r="P713" s="7">
        <f t="shared" si="5"/>
        <v>0</v>
      </c>
      <c r="R713" s="15"/>
      <c r="S713" s="15"/>
      <c r="U713" s="16"/>
      <c r="W713" s="16"/>
      <c r="X713" s="13"/>
      <c r="Y713" s="13"/>
    </row>
    <row r="714" ht="31.5" customHeight="1">
      <c r="D714" s="6" t="str">
        <f t="shared" si="1"/>
        <v/>
      </c>
      <c r="H714" s="7"/>
      <c r="K714" s="7">
        <f t="shared" si="2"/>
        <v>0</v>
      </c>
      <c r="N714" s="7">
        <f t="shared" si="3"/>
        <v>0</v>
      </c>
      <c r="O714" s="7">
        <f t="shared" si="4"/>
        <v>0</v>
      </c>
      <c r="P714" s="7">
        <f t="shared" si="5"/>
        <v>0</v>
      </c>
      <c r="R714" s="15"/>
      <c r="S714" s="15"/>
      <c r="U714" s="16"/>
      <c r="W714" s="16"/>
      <c r="X714" s="13"/>
      <c r="Y714" s="13"/>
    </row>
    <row r="715" ht="31.5" customHeight="1">
      <c r="D715" s="6" t="str">
        <f t="shared" si="1"/>
        <v/>
      </c>
      <c r="H715" s="7"/>
      <c r="K715" s="7">
        <f t="shared" si="2"/>
        <v>0</v>
      </c>
      <c r="N715" s="7">
        <f t="shared" si="3"/>
        <v>0</v>
      </c>
      <c r="O715" s="7">
        <f t="shared" si="4"/>
        <v>0</v>
      </c>
      <c r="P715" s="7">
        <f t="shared" si="5"/>
        <v>0</v>
      </c>
      <c r="R715" s="15"/>
      <c r="S715" s="15"/>
      <c r="U715" s="16"/>
      <c r="W715" s="16"/>
      <c r="X715" s="13"/>
      <c r="Y715" s="13"/>
    </row>
    <row r="716" ht="31.5" customHeight="1">
      <c r="D716" s="6" t="str">
        <f t="shared" si="1"/>
        <v/>
      </c>
      <c r="H716" s="7"/>
      <c r="K716" s="7">
        <f t="shared" si="2"/>
        <v>0</v>
      </c>
      <c r="N716" s="7">
        <f t="shared" si="3"/>
        <v>0</v>
      </c>
      <c r="O716" s="7">
        <f t="shared" si="4"/>
        <v>0</v>
      </c>
      <c r="P716" s="7">
        <f t="shared" si="5"/>
        <v>0</v>
      </c>
      <c r="R716" s="15"/>
      <c r="S716" s="15"/>
      <c r="U716" s="16"/>
      <c r="W716" s="16"/>
      <c r="X716" s="13"/>
      <c r="Y716" s="13"/>
    </row>
    <row r="717" ht="31.5" customHeight="1">
      <c r="D717" s="6" t="str">
        <f t="shared" si="1"/>
        <v/>
      </c>
      <c r="H717" s="7"/>
      <c r="K717" s="7">
        <f t="shared" si="2"/>
        <v>0</v>
      </c>
      <c r="N717" s="7">
        <f t="shared" si="3"/>
        <v>0</v>
      </c>
      <c r="O717" s="7">
        <f t="shared" si="4"/>
        <v>0</v>
      </c>
      <c r="P717" s="7">
        <f t="shared" si="5"/>
        <v>0</v>
      </c>
      <c r="R717" s="15"/>
      <c r="S717" s="15"/>
      <c r="U717" s="16"/>
      <c r="W717" s="16"/>
      <c r="X717" s="13"/>
      <c r="Y717" s="13"/>
    </row>
    <row r="718" ht="31.5" customHeight="1">
      <c r="D718" s="6" t="str">
        <f t="shared" si="1"/>
        <v/>
      </c>
      <c r="H718" s="7"/>
      <c r="K718" s="7">
        <f t="shared" si="2"/>
        <v>0</v>
      </c>
      <c r="N718" s="7">
        <f t="shared" si="3"/>
        <v>0</v>
      </c>
      <c r="O718" s="7">
        <f t="shared" si="4"/>
        <v>0</v>
      </c>
      <c r="P718" s="7">
        <f t="shared" si="5"/>
        <v>0</v>
      </c>
      <c r="R718" s="15"/>
      <c r="S718" s="15"/>
      <c r="U718" s="16"/>
      <c r="W718" s="16"/>
      <c r="X718" s="13"/>
      <c r="Y718" s="13"/>
    </row>
    <row r="719" ht="31.5" customHeight="1">
      <c r="D719" s="6" t="str">
        <f t="shared" si="1"/>
        <v/>
      </c>
      <c r="H719" s="7"/>
      <c r="K719" s="7">
        <f t="shared" si="2"/>
        <v>0</v>
      </c>
      <c r="N719" s="7">
        <f t="shared" si="3"/>
        <v>0</v>
      </c>
      <c r="O719" s="7">
        <f t="shared" si="4"/>
        <v>0</v>
      </c>
      <c r="P719" s="7">
        <f t="shared" si="5"/>
        <v>0</v>
      </c>
      <c r="R719" s="15"/>
      <c r="S719" s="15"/>
      <c r="U719" s="16"/>
      <c r="W719" s="16"/>
      <c r="X719" s="13"/>
      <c r="Y719" s="13"/>
    </row>
    <row r="720" ht="31.5" customHeight="1">
      <c r="D720" s="6" t="str">
        <f t="shared" si="1"/>
        <v/>
      </c>
      <c r="H720" s="7"/>
      <c r="K720" s="7">
        <f t="shared" si="2"/>
        <v>0</v>
      </c>
      <c r="N720" s="7">
        <f t="shared" si="3"/>
        <v>0</v>
      </c>
      <c r="O720" s="7">
        <f t="shared" si="4"/>
        <v>0</v>
      </c>
      <c r="P720" s="7">
        <f t="shared" si="5"/>
        <v>0</v>
      </c>
      <c r="R720" s="15"/>
      <c r="S720" s="15"/>
      <c r="U720" s="16"/>
      <c r="W720" s="16"/>
      <c r="X720" s="13"/>
      <c r="Y720" s="13"/>
    </row>
    <row r="721" ht="31.5" customHeight="1">
      <c r="D721" s="6" t="str">
        <f t="shared" si="1"/>
        <v/>
      </c>
      <c r="H721" s="7"/>
      <c r="K721" s="7">
        <f t="shared" si="2"/>
        <v>0</v>
      </c>
      <c r="N721" s="7">
        <f t="shared" si="3"/>
        <v>0</v>
      </c>
      <c r="O721" s="7">
        <f t="shared" si="4"/>
        <v>0</v>
      </c>
      <c r="P721" s="7">
        <f t="shared" si="5"/>
        <v>0</v>
      </c>
      <c r="R721" s="15"/>
      <c r="S721" s="15"/>
      <c r="U721" s="16"/>
      <c r="W721" s="16"/>
      <c r="X721" s="13"/>
      <c r="Y721" s="13"/>
    </row>
    <row r="722" ht="31.5" customHeight="1">
      <c r="D722" s="6" t="str">
        <f t="shared" si="1"/>
        <v/>
      </c>
      <c r="H722" s="7"/>
      <c r="K722" s="7">
        <f t="shared" si="2"/>
        <v>0</v>
      </c>
      <c r="N722" s="7">
        <f t="shared" si="3"/>
        <v>0</v>
      </c>
      <c r="O722" s="7">
        <f t="shared" si="4"/>
        <v>0</v>
      </c>
      <c r="P722" s="7">
        <f t="shared" si="5"/>
        <v>0</v>
      </c>
      <c r="R722" s="15"/>
      <c r="S722" s="15"/>
      <c r="U722" s="16"/>
      <c r="W722" s="16"/>
      <c r="X722" s="13"/>
      <c r="Y722" s="13"/>
    </row>
    <row r="723" ht="31.5" customHeight="1">
      <c r="D723" s="6" t="str">
        <f t="shared" si="1"/>
        <v/>
      </c>
      <c r="H723" s="7"/>
      <c r="K723" s="7">
        <f t="shared" si="2"/>
        <v>0</v>
      </c>
      <c r="N723" s="7">
        <f t="shared" si="3"/>
        <v>0</v>
      </c>
      <c r="O723" s="7">
        <f t="shared" si="4"/>
        <v>0</v>
      </c>
      <c r="P723" s="7">
        <f t="shared" si="5"/>
        <v>0</v>
      </c>
      <c r="R723" s="15"/>
      <c r="S723" s="15"/>
      <c r="U723" s="16"/>
      <c r="W723" s="16"/>
      <c r="X723" s="13"/>
      <c r="Y723" s="13"/>
    </row>
    <row r="724" ht="31.5" customHeight="1">
      <c r="D724" s="6" t="str">
        <f t="shared" si="1"/>
        <v/>
      </c>
      <c r="H724" s="7"/>
      <c r="K724" s="7">
        <f t="shared" si="2"/>
        <v>0</v>
      </c>
      <c r="N724" s="7">
        <f t="shared" si="3"/>
        <v>0</v>
      </c>
      <c r="O724" s="7">
        <f t="shared" si="4"/>
        <v>0</v>
      </c>
      <c r="P724" s="7">
        <f t="shared" si="5"/>
        <v>0</v>
      </c>
      <c r="R724" s="15"/>
      <c r="S724" s="15"/>
      <c r="U724" s="16"/>
      <c r="W724" s="16"/>
      <c r="X724" s="13"/>
      <c r="Y724" s="13"/>
    </row>
    <row r="725" ht="31.5" customHeight="1">
      <c r="D725" s="6" t="str">
        <f t="shared" si="1"/>
        <v/>
      </c>
      <c r="H725" s="7"/>
      <c r="K725" s="7">
        <f t="shared" si="2"/>
        <v>0</v>
      </c>
      <c r="N725" s="7">
        <f t="shared" si="3"/>
        <v>0</v>
      </c>
      <c r="O725" s="7">
        <f t="shared" si="4"/>
        <v>0</v>
      </c>
      <c r="P725" s="7">
        <f t="shared" si="5"/>
        <v>0</v>
      </c>
      <c r="R725" s="15"/>
      <c r="S725" s="15"/>
      <c r="U725" s="16"/>
      <c r="W725" s="16"/>
      <c r="X725" s="13"/>
      <c r="Y725" s="13"/>
    </row>
    <row r="726" ht="31.5" customHeight="1">
      <c r="D726" s="6" t="str">
        <f t="shared" si="1"/>
        <v/>
      </c>
      <c r="H726" s="7"/>
      <c r="K726" s="7">
        <f t="shared" si="2"/>
        <v>0</v>
      </c>
      <c r="N726" s="7">
        <f t="shared" si="3"/>
        <v>0</v>
      </c>
      <c r="O726" s="7">
        <f t="shared" si="4"/>
        <v>0</v>
      </c>
      <c r="P726" s="7">
        <f t="shared" si="5"/>
        <v>0</v>
      </c>
      <c r="R726" s="15"/>
      <c r="S726" s="15"/>
      <c r="U726" s="16"/>
      <c r="W726" s="16"/>
      <c r="X726" s="13"/>
      <c r="Y726" s="13"/>
    </row>
    <row r="727" ht="31.5" customHeight="1">
      <c r="D727" s="6" t="str">
        <f t="shared" si="1"/>
        <v/>
      </c>
      <c r="H727" s="7"/>
      <c r="K727" s="7">
        <f t="shared" si="2"/>
        <v>0</v>
      </c>
      <c r="N727" s="7">
        <f t="shared" si="3"/>
        <v>0</v>
      </c>
      <c r="O727" s="7">
        <f t="shared" si="4"/>
        <v>0</v>
      </c>
      <c r="P727" s="7">
        <f t="shared" si="5"/>
        <v>0</v>
      </c>
      <c r="R727" s="15"/>
      <c r="S727" s="15"/>
      <c r="U727" s="16"/>
      <c r="W727" s="16"/>
      <c r="X727" s="13"/>
      <c r="Y727" s="13"/>
    </row>
    <row r="728" ht="31.5" customHeight="1">
      <c r="D728" s="6" t="str">
        <f t="shared" si="1"/>
        <v/>
      </c>
      <c r="H728" s="7"/>
      <c r="K728" s="7">
        <f t="shared" si="2"/>
        <v>0</v>
      </c>
      <c r="N728" s="7">
        <f t="shared" si="3"/>
        <v>0</v>
      </c>
      <c r="O728" s="7">
        <f t="shared" si="4"/>
        <v>0</v>
      </c>
      <c r="P728" s="7">
        <f t="shared" si="5"/>
        <v>0</v>
      </c>
      <c r="R728" s="15"/>
      <c r="S728" s="15"/>
      <c r="U728" s="16"/>
      <c r="W728" s="16"/>
      <c r="X728" s="13"/>
      <c r="Y728" s="13"/>
    </row>
    <row r="729" ht="31.5" customHeight="1">
      <c r="D729" s="6" t="str">
        <f t="shared" si="1"/>
        <v/>
      </c>
      <c r="H729" s="7"/>
      <c r="K729" s="7">
        <f t="shared" si="2"/>
        <v>0</v>
      </c>
      <c r="N729" s="7">
        <f t="shared" si="3"/>
        <v>0</v>
      </c>
      <c r="O729" s="7">
        <f t="shared" si="4"/>
        <v>0</v>
      </c>
      <c r="P729" s="7">
        <f t="shared" si="5"/>
        <v>0</v>
      </c>
      <c r="R729" s="15"/>
      <c r="S729" s="15"/>
      <c r="U729" s="16"/>
      <c r="W729" s="16"/>
      <c r="X729" s="13"/>
      <c r="Y729" s="13"/>
    </row>
    <row r="730" ht="31.5" customHeight="1">
      <c r="D730" s="6" t="str">
        <f t="shared" si="1"/>
        <v/>
      </c>
      <c r="H730" s="7"/>
      <c r="K730" s="7">
        <f t="shared" si="2"/>
        <v>0</v>
      </c>
      <c r="N730" s="7">
        <f t="shared" si="3"/>
        <v>0</v>
      </c>
      <c r="O730" s="7">
        <f t="shared" si="4"/>
        <v>0</v>
      </c>
      <c r="P730" s="7">
        <f t="shared" si="5"/>
        <v>0</v>
      </c>
      <c r="R730" s="15"/>
      <c r="S730" s="15"/>
      <c r="U730" s="16"/>
      <c r="W730" s="16"/>
      <c r="X730" s="13"/>
      <c r="Y730" s="13"/>
    </row>
    <row r="731" ht="31.5" customHeight="1">
      <c r="D731" s="6" t="str">
        <f t="shared" si="1"/>
        <v/>
      </c>
      <c r="H731" s="7"/>
      <c r="K731" s="7">
        <f t="shared" si="2"/>
        <v>0</v>
      </c>
      <c r="N731" s="7">
        <f t="shared" si="3"/>
        <v>0</v>
      </c>
      <c r="O731" s="7">
        <f t="shared" si="4"/>
        <v>0</v>
      </c>
      <c r="P731" s="7">
        <f t="shared" si="5"/>
        <v>0</v>
      </c>
      <c r="R731" s="15"/>
      <c r="S731" s="15"/>
      <c r="U731" s="16"/>
      <c r="W731" s="16"/>
      <c r="X731" s="13"/>
      <c r="Y731" s="13"/>
    </row>
    <row r="732" ht="31.5" customHeight="1">
      <c r="D732" s="6" t="str">
        <f t="shared" si="1"/>
        <v/>
      </c>
      <c r="H732" s="7"/>
      <c r="K732" s="7">
        <f t="shared" si="2"/>
        <v>0</v>
      </c>
      <c r="N732" s="7">
        <f t="shared" si="3"/>
        <v>0</v>
      </c>
      <c r="O732" s="7">
        <f t="shared" si="4"/>
        <v>0</v>
      </c>
      <c r="P732" s="7">
        <f t="shared" si="5"/>
        <v>0</v>
      </c>
      <c r="R732" s="15"/>
      <c r="S732" s="15"/>
      <c r="U732" s="16"/>
      <c r="W732" s="16"/>
      <c r="X732" s="13"/>
      <c r="Y732" s="13"/>
    </row>
    <row r="733" ht="31.5" customHeight="1">
      <c r="D733" s="6" t="str">
        <f t="shared" si="1"/>
        <v/>
      </c>
      <c r="H733" s="7"/>
      <c r="K733" s="7">
        <f t="shared" si="2"/>
        <v>0</v>
      </c>
      <c r="N733" s="7">
        <f t="shared" si="3"/>
        <v>0</v>
      </c>
      <c r="O733" s="7">
        <f t="shared" si="4"/>
        <v>0</v>
      </c>
      <c r="P733" s="7">
        <f t="shared" si="5"/>
        <v>0</v>
      </c>
      <c r="R733" s="15"/>
      <c r="S733" s="15"/>
      <c r="U733" s="16"/>
      <c r="W733" s="16"/>
      <c r="X733" s="13"/>
      <c r="Y733" s="13"/>
    </row>
    <row r="734" ht="31.5" customHeight="1">
      <c r="D734" s="6" t="str">
        <f t="shared" si="1"/>
        <v/>
      </c>
      <c r="H734" s="7"/>
      <c r="K734" s="7">
        <f t="shared" si="2"/>
        <v>0</v>
      </c>
      <c r="N734" s="7">
        <f t="shared" si="3"/>
        <v>0</v>
      </c>
      <c r="O734" s="7">
        <f t="shared" si="4"/>
        <v>0</v>
      </c>
      <c r="P734" s="7">
        <f t="shared" si="5"/>
        <v>0</v>
      </c>
      <c r="R734" s="15"/>
      <c r="S734" s="15"/>
      <c r="U734" s="16"/>
      <c r="W734" s="16"/>
      <c r="X734" s="13"/>
      <c r="Y734" s="13"/>
    </row>
    <row r="735" ht="31.5" customHeight="1">
      <c r="D735" s="6" t="str">
        <f t="shared" si="1"/>
        <v/>
      </c>
      <c r="H735" s="7"/>
      <c r="K735" s="7">
        <f t="shared" si="2"/>
        <v>0</v>
      </c>
      <c r="N735" s="7">
        <f t="shared" si="3"/>
        <v>0</v>
      </c>
      <c r="O735" s="7">
        <f t="shared" si="4"/>
        <v>0</v>
      </c>
      <c r="P735" s="7">
        <f t="shared" si="5"/>
        <v>0</v>
      </c>
      <c r="R735" s="15"/>
      <c r="S735" s="15"/>
      <c r="U735" s="16"/>
      <c r="W735" s="16"/>
      <c r="X735" s="13"/>
      <c r="Y735" s="13"/>
    </row>
    <row r="736" ht="31.5" customHeight="1">
      <c r="D736" s="6" t="str">
        <f t="shared" si="1"/>
        <v/>
      </c>
      <c r="H736" s="7"/>
      <c r="K736" s="7">
        <f t="shared" si="2"/>
        <v>0</v>
      </c>
      <c r="N736" s="7">
        <f t="shared" si="3"/>
        <v>0</v>
      </c>
      <c r="O736" s="7">
        <f t="shared" si="4"/>
        <v>0</v>
      </c>
      <c r="P736" s="7">
        <f t="shared" si="5"/>
        <v>0</v>
      </c>
      <c r="R736" s="15"/>
      <c r="S736" s="15"/>
      <c r="U736" s="16"/>
      <c r="W736" s="16"/>
      <c r="X736" s="13"/>
      <c r="Y736" s="13"/>
    </row>
    <row r="737" ht="31.5" customHeight="1">
      <c r="D737" s="6" t="str">
        <f t="shared" si="1"/>
        <v/>
      </c>
      <c r="H737" s="7"/>
      <c r="K737" s="7">
        <f t="shared" si="2"/>
        <v>0</v>
      </c>
      <c r="N737" s="7">
        <f t="shared" si="3"/>
        <v>0</v>
      </c>
      <c r="O737" s="7">
        <f t="shared" si="4"/>
        <v>0</v>
      </c>
      <c r="P737" s="7">
        <f t="shared" si="5"/>
        <v>0</v>
      </c>
      <c r="R737" s="15"/>
      <c r="S737" s="15"/>
      <c r="U737" s="16"/>
      <c r="W737" s="16"/>
      <c r="X737" s="13"/>
      <c r="Y737" s="13"/>
    </row>
    <row r="738" ht="31.5" customHeight="1">
      <c r="D738" s="6" t="str">
        <f t="shared" si="1"/>
        <v/>
      </c>
      <c r="H738" s="7"/>
      <c r="K738" s="7">
        <f t="shared" si="2"/>
        <v>0</v>
      </c>
      <c r="N738" s="7">
        <f t="shared" si="3"/>
        <v>0</v>
      </c>
      <c r="O738" s="7">
        <f t="shared" si="4"/>
        <v>0</v>
      </c>
      <c r="P738" s="7">
        <f t="shared" si="5"/>
        <v>0</v>
      </c>
      <c r="R738" s="15"/>
      <c r="S738" s="15"/>
      <c r="U738" s="16"/>
      <c r="W738" s="16"/>
      <c r="X738" s="13"/>
      <c r="Y738" s="13"/>
    </row>
    <row r="739" ht="31.5" customHeight="1">
      <c r="D739" s="6" t="str">
        <f t="shared" si="1"/>
        <v/>
      </c>
      <c r="H739" s="7"/>
      <c r="K739" s="7">
        <f t="shared" si="2"/>
        <v>0</v>
      </c>
      <c r="N739" s="7">
        <f t="shared" si="3"/>
        <v>0</v>
      </c>
      <c r="O739" s="7">
        <f t="shared" si="4"/>
        <v>0</v>
      </c>
      <c r="P739" s="7">
        <f t="shared" si="5"/>
        <v>0</v>
      </c>
      <c r="R739" s="15"/>
      <c r="S739" s="15"/>
      <c r="U739" s="16"/>
      <c r="W739" s="16"/>
      <c r="X739" s="13"/>
      <c r="Y739" s="13"/>
    </row>
    <row r="740" ht="31.5" customHeight="1">
      <c r="D740" s="6" t="str">
        <f t="shared" si="1"/>
        <v/>
      </c>
      <c r="H740" s="7"/>
      <c r="K740" s="7">
        <f t="shared" si="2"/>
        <v>0</v>
      </c>
      <c r="N740" s="7">
        <f t="shared" si="3"/>
        <v>0</v>
      </c>
      <c r="O740" s="7">
        <f t="shared" si="4"/>
        <v>0</v>
      </c>
      <c r="P740" s="7">
        <f t="shared" si="5"/>
        <v>0</v>
      </c>
      <c r="R740" s="15"/>
      <c r="S740" s="15"/>
      <c r="U740" s="16"/>
      <c r="W740" s="16"/>
      <c r="X740" s="13"/>
      <c r="Y740" s="13"/>
    </row>
    <row r="741" ht="31.5" customHeight="1">
      <c r="D741" s="6" t="str">
        <f t="shared" si="1"/>
        <v/>
      </c>
      <c r="H741" s="7"/>
      <c r="K741" s="7">
        <f t="shared" si="2"/>
        <v>0</v>
      </c>
      <c r="N741" s="7">
        <f t="shared" si="3"/>
        <v>0</v>
      </c>
      <c r="O741" s="7">
        <f t="shared" si="4"/>
        <v>0</v>
      </c>
      <c r="P741" s="7">
        <f t="shared" si="5"/>
        <v>0</v>
      </c>
      <c r="R741" s="15"/>
      <c r="S741" s="15"/>
      <c r="U741" s="16"/>
      <c r="W741" s="16"/>
      <c r="X741" s="13"/>
      <c r="Y741" s="13"/>
    </row>
    <row r="742" ht="31.5" customHeight="1">
      <c r="D742" s="6" t="str">
        <f t="shared" si="1"/>
        <v/>
      </c>
      <c r="H742" s="7"/>
      <c r="K742" s="7">
        <f t="shared" si="2"/>
        <v>0</v>
      </c>
      <c r="N742" s="7">
        <f t="shared" si="3"/>
        <v>0</v>
      </c>
      <c r="O742" s="7">
        <f t="shared" si="4"/>
        <v>0</v>
      </c>
      <c r="P742" s="7">
        <f t="shared" si="5"/>
        <v>0</v>
      </c>
      <c r="R742" s="15"/>
      <c r="S742" s="15"/>
      <c r="U742" s="16"/>
      <c r="W742" s="16"/>
      <c r="X742" s="13"/>
      <c r="Y742" s="13"/>
    </row>
    <row r="743" ht="31.5" customHeight="1">
      <c r="D743" s="6" t="str">
        <f t="shared" si="1"/>
        <v/>
      </c>
      <c r="H743" s="7"/>
      <c r="K743" s="7">
        <f t="shared" si="2"/>
        <v>0</v>
      </c>
      <c r="N743" s="7">
        <f t="shared" si="3"/>
        <v>0</v>
      </c>
      <c r="O743" s="7">
        <f t="shared" si="4"/>
        <v>0</v>
      </c>
      <c r="P743" s="7">
        <f t="shared" si="5"/>
        <v>0</v>
      </c>
      <c r="R743" s="15"/>
      <c r="S743" s="15"/>
      <c r="U743" s="16"/>
      <c r="W743" s="16"/>
      <c r="X743" s="13"/>
      <c r="Y743" s="13"/>
    </row>
    <row r="744" ht="31.5" customHeight="1">
      <c r="D744" s="6" t="str">
        <f t="shared" si="1"/>
        <v/>
      </c>
      <c r="H744" s="7"/>
      <c r="K744" s="7">
        <f t="shared" si="2"/>
        <v>0</v>
      </c>
      <c r="N744" s="7">
        <f t="shared" si="3"/>
        <v>0</v>
      </c>
      <c r="O744" s="7">
        <f t="shared" si="4"/>
        <v>0</v>
      </c>
      <c r="P744" s="7">
        <f t="shared" si="5"/>
        <v>0</v>
      </c>
      <c r="R744" s="15"/>
      <c r="S744" s="15"/>
      <c r="U744" s="16"/>
      <c r="W744" s="16"/>
      <c r="X744" s="13"/>
      <c r="Y744" s="13"/>
    </row>
    <row r="745" ht="31.5" customHeight="1">
      <c r="D745" s="6" t="str">
        <f t="shared" si="1"/>
        <v/>
      </c>
      <c r="H745" s="7"/>
      <c r="K745" s="7">
        <f t="shared" si="2"/>
        <v>0</v>
      </c>
      <c r="N745" s="7">
        <f t="shared" si="3"/>
        <v>0</v>
      </c>
      <c r="O745" s="7">
        <f t="shared" si="4"/>
        <v>0</v>
      </c>
      <c r="P745" s="7">
        <f t="shared" si="5"/>
        <v>0</v>
      </c>
      <c r="R745" s="15"/>
      <c r="S745" s="15"/>
      <c r="U745" s="16"/>
      <c r="W745" s="16"/>
      <c r="X745" s="13"/>
      <c r="Y745" s="13"/>
    </row>
    <row r="746" ht="31.5" customHeight="1">
      <c r="D746" s="6" t="str">
        <f t="shared" si="1"/>
        <v/>
      </c>
      <c r="H746" s="7"/>
      <c r="K746" s="7">
        <f t="shared" si="2"/>
        <v>0</v>
      </c>
      <c r="N746" s="7">
        <f t="shared" si="3"/>
        <v>0</v>
      </c>
      <c r="O746" s="7">
        <f t="shared" si="4"/>
        <v>0</v>
      </c>
      <c r="P746" s="7">
        <f t="shared" si="5"/>
        <v>0</v>
      </c>
      <c r="R746" s="15"/>
      <c r="S746" s="15"/>
      <c r="U746" s="16"/>
      <c r="W746" s="16"/>
      <c r="X746" s="13"/>
      <c r="Y746" s="13"/>
    </row>
    <row r="747" ht="31.5" customHeight="1">
      <c r="D747" s="6" t="str">
        <f t="shared" si="1"/>
        <v/>
      </c>
      <c r="H747" s="7"/>
      <c r="K747" s="7">
        <f t="shared" si="2"/>
        <v>0</v>
      </c>
      <c r="N747" s="7">
        <f t="shared" si="3"/>
        <v>0</v>
      </c>
      <c r="O747" s="7">
        <f t="shared" si="4"/>
        <v>0</v>
      </c>
      <c r="P747" s="7">
        <f t="shared" si="5"/>
        <v>0</v>
      </c>
      <c r="R747" s="15"/>
      <c r="S747" s="15"/>
      <c r="U747" s="16"/>
      <c r="W747" s="16"/>
      <c r="X747" s="13"/>
      <c r="Y747" s="13"/>
    </row>
    <row r="748" ht="31.5" customHeight="1">
      <c r="D748" s="6" t="str">
        <f t="shared" si="1"/>
        <v/>
      </c>
      <c r="H748" s="7"/>
      <c r="K748" s="7">
        <f t="shared" si="2"/>
        <v>0</v>
      </c>
      <c r="N748" s="7">
        <f t="shared" si="3"/>
        <v>0</v>
      </c>
      <c r="O748" s="7">
        <f t="shared" si="4"/>
        <v>0</v>
      </c>
      <c r="P748" s="7">
        <f t="shared" si="5"/>
        <v>0</v>
      </c>
      <c r="R748" s="15"/>
      <c r="S748" s="15"/>
      <c r="U748" s="16"/>
      <c r="W748" s="16"/>
      <c r="X748" s="13"/>
      <c r="Y748" s="13"/>
    </row>
    <row r="749" ht="31.5" customHeight="1">
      <c r="D749" s="6" t="str">
        <f t="shared" si="1"/>
        <v/>
      </c>
      <c r="H749" s="7"/>
      <c r="K749" s="7">
        <f t="shared" si="2"/>
        <v>0</v>
      </c>
      <c r="N749" s="7">
        <f t="shared" si="3"/>
        <v>0</v>
      </c>
      <c r="O749" s="7">
        <f t="shared" si="4"/>
        <v>0</v>
      </c>
      <c r="P749" s="7">
        <f t="shared" si="5"/>
        <v>0</v>
      </c>
      <c r="R749" s="15"/>
      <c r="S749" s="15"/>
      <c r="U749" s="16"/>
      <c r="W749" s="16"/>
      <c r="X749" s="13"/>
      <c r="Y749" s="13"/>
    </row>
    <row r="750" ht="31.5" customHeight="1">
      <c r="D750" s="6" t="str">
        <f t="shared" si="1"/>
        <v/>
      </c>
      <c r="H750" s="7"/>
      <c r="K750" s="7">
        <f t="shared" si="2"/>
        <v>0</v>
      </c>
      <c r="N750" s="7">
        <f t="shared" si="3"/>
        <v>0</v>
      </c>
      <c r="O750" s="7">
        <f t="shared" si="4"/>
        <v>0</v>
      </c>
      <c r="P750" s="7">
        <f t="shared" si="5"/>
        <v>0</v>
      </c>
      <c r="R750" s="15"/>
      <c r="S750" s="15"/>
      <c r="U750" s="16"/>
      <c r="W750" s="16"/>
      <c r="X750" s="13"/>
      <c r="Y750" s="13"/>
    </row>
    <row r="751" ht="31.5" customHeight="1">
      <c r="D751" s="6" t="str">
        <f t="shared" si="1"/>
        <v/>
      </c>
      <c r="H751" s="7"/>
      <c r="K751" s="7">
        <f t="shared" si="2"/>
        <v>0</v>
      </c>
      <c r="N751" s="7">
        <f t="shared" si="3"/>
        <v>0</v>
      </c>
      <c r="O751" s="7">
        <f t="shared" si="4"/>
        <v>0</v>
      </c>
      <c r="P751" s="7">
        <f t="shared" si="5"/>
        <v>0</v>
      </c>
      <c r="R751" s="15"/>
      <c r="S751" s="15"/>
      <c r="U751" s="16"/>
      <c r="W751" s="16"/>
      <c r="X751" s="13"/>
      <c r="Y751" s="13"/>
    </row>
    <row r="752" ht="31.5" customHeight="1">
      <c r="D752" s="6" t="str">
        <f t="shared" si="1"/>
        <v/>
      </c>
      <c r="H752" s="7"/>
      <c r="K752" s="7">
        <f t="shared" si="2"/>
        <v>0</v>
      </c>
      <c r="N752" s="7">
        <f t="shared" si="3"/>
        <v>0</v>
      </c>
      <c r="O752" s="7">
        <f t="shared" si="4"/>
        <v>0</v>
      </c>
      <c r="P752" s="7">
        <f t="shared" si="5"/>
        <v>0</v>
      </c>
      <c r="R752" s="15"/>
      <c r="S752" s="15"/>
      <c r="U752" s="16"/>
      <c r="W752" s="16"/>
      <c r="X752" s="13"/>
      <c r="Y752" s="13"/>
    </row>
    <row r="753" ht="31.5" customHeight="1">
      <c r="D753" s="6" t="str">
        <f t="shared" si="1"/>
        <v/>
      </c>
      <c r="H753" s="7"/>
      <c r="K753" s="7">
        <f t="shared" si="2"/>
        <v>0</v>
      </c>
      <c r="N753" s="7">
        <f t="shared" si="3"/>
        <v>0</v>
      </c>
      <c r="O753" s="7">
        <f t="shared" si="4"/>
        <v>0</v>
      </c>
      <c r="P753" s="7">
        <f t="shared" si="5"/>
        <v>0</v>
      </c>
      <c r="R753" s="15"/>
      <c r="S753" s="15"/>
      <c r="U753" s="16"/>
      <c r="W753" s="16"/>
      <c r="X753" s="13"/>
      <c r="Y753" s="13"/>
    </row>
    <row r="754" ht="31.5" customHeight="1">
      <c r="D754" s="6" t="str">
        <f t="shared" si="1"/>
        <v/>
      </c>
      <c r="H754" s="7"/>
      <c r="K754" s="7">
        <f t="shared" si="2"/>
        <v>0</v>
      </c>
      <c r="N754" s="7">
        <f t="shared" si="3"/>
        <v>0</v>
      </c>
      <c r="O754" s="7">
        <f t="shared" si="4"/>
        <v>0</v>
      </c>
      <c r="P754" s="7">
        <f t="shared" si="5"/>
        <v>0</v>
      </c>
      <c r="R754" s="15"/>
      <c r="S754" s="15"/>
      <c r="U754" s="16"/>
      <c r="W754" s="16"/>
      <c r="X754" s="13"/>
      <c r="Y754" s="13"/>
    </row>
    <row r="755" ht="31.5" customHeight="1">
      <c r="D755" s="6" t="str">
        <f t="shared" si="1"/>
        <v/>
      </c>
      <c r="H755" s="7"/>
      <c r="K755" s="7">
        <f t="shared" si="2"/>
        <v>0</v>
      </c>
      <c r="N755" s="7">
        <f t="shared" si="3"/>
        <v>0</v>
      </c>
      <c r="O755" s="7">
        <f t="shared" si="4"/>
        <v>0</v>
      </c>
      <c r="P755" s="7">
        <f t="shared" si="5"/>
        <v>0</v>
      </c>
      <c r="R755" s="15"/>
      <c r="S755" s="15"/>
      <c r="U755" s="16"/>
      <c r="W755" s="16"/>
      <c r="X755" s="13"/>
      <c r="Y755" s="13"/>
    </row>
    <row r="756" ht="31.5" customHeight="1">
      <c r="D756" s="6" t="str">
        <f t="shared" si="1"/>
        <v/>
      </c>
      <c r="H756" s="7"/>
      <c r="K756" s="7">
        <f t="shared" si="2"/>
        <v>0</v>
      </c>
      <c r="N756" s="7">
        <f t="shared" si="3"/>
        <v>0</v>
      </c>
      <c r="O756" s="7">
        <f t="shared" si="4"/>
        <v>0</v>
      </c>
      <c r="P756" s="7">
        <f t="shared" si="5"/>
        <v>0</v>
      </c>
      <c r="R756" s="15"/>
      <c r="S756" s="15"/>
      <c r="U756" s="16"/>
      <c r="W756" s="16"/>
      <c r="X756" s="13"/>
      <c r="Y756" s="13"/>
    </row>
    <row r="757" ht="31.5" customHeight="1">
      <c r="D757" s="6" t="str">
        <f t="shared" si="1"/>
        <v/>
      </c>
      <c r="H757" s="7"/>
      <c r="K757" s="7">
        <f t="shared" si="2"/>
        <v>0</v>
      </c>
      <c r="N757" s="7">
        <f t="shared" si="3"/>
        <v>0</v>
      </c>
      <c r="O757" s="7">
        <f t="shared" si="4"/>
        <v>0</v>
      </c>
      <c r="P757" s="7">
        <f t="shared" si="5"/>
        <v>0</v>
      </c>
      <c r="R757" s="15"/>
      <c r="S757" s="15"/>
      <c r="U757" s="16"/>
      <c r="W757" s="16"/>
      <c r="X757" s="13"/>
      <c r="Y757" s="13"/>
    </row>
    <row r="758" ht="31.5" customHeight="1">
      <c r="D758" s="6" t="str">
        <f t="shared" si="1"/>
        <v/>
      </c>
      <c r="H758" s="7"/>
      <c r="K758" s="7">
        <f t="shared" si="2"/>
        <v>0</v>
      </c>
      <c r="N758" s="7">
        <f t="shared" si="3"/>
        <v>0</v>
      </c>
      <c r="O758" s="7">
        <f t="shared" si="4"/>
        <v>0</v>
      </c>
      <c r="P758" s="7">
        <f t="shared" si="5"/>
        <v>0</v>
      </c>
      <c r="R758" s="15"/>
      <c r="S758" s="15"/>
      <c r="U758" s="16"/>
      <c r="W758" s="16"/>
      <c r="X758" s="13"/>
      <c r="Y758" s="13"/>
    </row>
    <row r="759" ht="31.5" customHeight="1">
      <c r="D759" s="6" t="str">
        <f t="shared" si="1"/>
        <v/>
      </c>
      <c r="H759" s="7"/>
      <c r="K759" s="7">
        <f t="shared" si="2"/>
        <v>0</v>
      </c>
      <c r="N759" s="7">
        <f t="shared" si="3"/>
        <v>0</v>
      </c>
      <c r="O759" s="7">
        <f t="shared" si="4"/>
        <v>0</v>
      </c>
      <c r="P759" s="7">
        <f t="shared" si="5"/>
        <v>0</v>
      </c>
      <c r="R759" s="15"/>
      <c r="S759" s="15"/>
      <c r="U759" s="16"/>
      <c r="W759" s="16"/>
      <c r="X759" s="13"/>
      <c r="Y759" s="13"/>
    </row>
    <row r="760" ht="31.5" customHeight="1">
      <c r="D760" s="6" t="str">
        <f t="shared" si="1"/>
        <v/>
      </c>
      <c r="H760" s="7"/>
      <c r="K760" s="7">
        <f t="shared" si="2"/>
        <v>0</v>
      </c>
      <c r="N760" s="7">
        <f t="shared" si="3"/>
        <v>0</v>
      </c>
      <c r="O760" s="7">
        <f t="shared" si="4"/>
        <v>0</v>
      </c>
      <c r="P760" s="7">
        <f t="shared" si="5"/>
        <v>0</v>
      </c>
      <c r="R760" s="15"/>
      <c r="S760" s="15"/>
      <c r="U760" s="16"/>
      <c r="W760" s="16"/>
      <c r="X760" s="13"/>
      <c r="Y760" s="13"/>
    </row>
    <row r="761" ht="31.5" customHeight="1">
      <c r="D761" s="6" t="str">
        <f t="shared" si="1"/>
        <v/>
      </c>
      <c r="H761" s="7"/>
      <c r="K761" s="7">
        <f t="shared" si="2"/>
        <v>0</v>
      </c>
      <c r="N761" s="7">
        <f t="shared" si="3"/>
        <v>0</v>
      </c>
      <c r="O761" s="7">
        <f t="shared" si="4"/>
        <v>0</v>
      </c>
      <c r="P761" s="7">
        <f t="shared" si="5"/>
        <v>0</v>
      </c>
      <c r="R761" s="15"/>
      <c r="S761" s="15"/>
      <c r="U761" s="16"/>
      <c r="W761" s="16"/>
      <c r="X761" s="13"/>
      <c r="Y761" s="13"/>
    </row>
    <row r="762" ht="31.5" customHeight="1">
      <c r="D762" s="6" t="str">
        <f t="shared" si="1"/>
        <v/>
      </c>
      <c r="H762" s="7"/>
      <c r="K762" s="7">
        <f t="shared" si="2"/>
        <v>0</v>
      </c>
      <c r="N762" s="7">
        <f t="shared" si="3"/>
        <v>0</v>
      </c>
      <c r="O762" s="7">
        <f t="shared" si="4"/>
        <v>0</v>
      </c>
      <c r="P762" s="7">
        <f t="shared" si="5"/>
        <v>0</v>
      </c>
      <c r="R762" s="15"/>
      <c r="S762" s="15"/>
      <c r="U762" s="16"/>
      <c r="W762" s="16"/>
      <c r="X762" s="13"/>
      <c r="Y762" s="13"/>
    </row>
    <row r="763" ht="31.5" customHeight="1">
      <c r="D763" s="6" t="str">
        <f t="shared" si="1"/>
        <v/>
      </c>
      <c r="H763" s="7"/>
      <c r="K763" s="7">
        <f t="shared" si="2"/>
        <v>0</v>
      </c>
      <c r="N763" s="7">
        <f t="shared" si="3"/>
        <v>0</v>
      </c>
      <c r="O763" s="7">
        <f t="shared" si="4"/>
        <v>0</v>
      </c>
      <c r="P763" s="7">
        <f t="shared" si="5"/>
        <v>0</v>
      </c>
      <c r="R763" s="15"/>
      <c r="S763" s="15"/>
      <c r="U763" s="16"/>
      <c r="W763" s="16"/>
      <c r="X763" s="13"/>
      <c r="Y763" s="13"/>
    </row>
    <row r="764" ht="31.5" customHeight="1">
      <c r="D764" s="6" t="str">
        <f t="shared" si="1"/>
        <v/>
      </c>
      <c r="H764" s="7"/>
      <c r="K764" s="7">
        <f t="shared" si="2"/>
        <v>0</v>
      </c>
      <c r="N764" s="7">
        <f t="shared" si="3"/>
        <v>0</v>
      </c>
      <c r="O764" s="7">
        <f t="shared" si="4"/>
        <v>0</v>
      </c>
      <c r="P764" s="7">
        <f t="shared" si="5"/>
        <v>0</v>
      </c>
      <c r="R764" s="15"/>
      <c r="S764" s="15"/>
      <c r="U764" s="16"/>
      <c r="W764" s="16"/>
      <c r="X764" s="13"/>
      <c r="Y764" s="13"/>
    </row>
    <row r="765" ht="31.5" customHeight="1">
      <c r="D765" s="6" t="str">
        <f t="shared" si="1"/>
        <v/>
      </c>
      <c r="H765" s="7"/>
      <c r="K765" s="7">
        <f t="shared" si="2"/>
        <v>0</v>
      </c>
      <c r="N765" s="7">
        <f t="shared" si="3"/>
        <v>0</v>
      </c>
      <c r="O765" s="7">
        <f t="shared" si="4"/>
        <v>0</v>
      </c>
      <c r="P765" s="7">
        <f t="shared" si="5"/>
        <v>0</v>
      </c>
      <c r="R765" s="15"/>
      <c r="S765" s="15"/>
      <c r="U765" s="16"/>
      <c r="W765" s="16"/>
      <c r="X765" s="13"/>
      <c r="Y765" s="13"/>
    </row>
    <row r="766" ht="31.5" customHeight="1">
      <c r="D766" s="6" t="str">
        <f t="shared" si="1"/>
        <v/>
      </c>
      <c r="H766" s="7"/>
      <c r="K766" s="7">
        <f t="shared" si="2"/>
        <v>0</v>
      </c>
      <c r="N766" s="7">
        <f t="shared" si="3"/>
        <v>0</v>
      </c>
      <c r="O766" s="7">
        <f t="shared" si="4"/>
        <v>0</v>
      </c>
      <c r="P766" s="7">
        <f t="shared" si="5"/>
        <v>0</v>
      </c>
      <c r="R766" s="15"/>
      <c r="S766" s="15"/>
      <c r="U766" s="16"/>
      <c r="W766" s="16"/>
      <c r="X766" s="13"/>
      <c r="Y766" s="13"/>
    </row>
    <row r="767" ht="31.5" customHeight="1">
      <c r="D767" s="6" t="str">
        <f t="shared" si="1"/>
        <v/>
      </c>
      <c r="H767" s="7"/>
      <c r="K767" s="7">
        <f t="shared" si="2"/>
        <v>0</v>
      </c>
      <c r="N767" s="7">
        <f t="shared" si="3"/>
        <v>0</v>
      </c>
      <c r="O767" s="7">
        <f t="shared" si="4"/>
        <v>0</v>
      </c>
      <c r="P767" s="7">
        <f t="shared" si="5"/>
        <v>0</v>
      </c>
      <c r="R767" s="15"/>
      <c r="S767" s="15"/>
      <c r="U767" s="16"/>
      <c r="W767" s="16"/>
      <c r="X767" s="13"/>
      <c r="Y767" s="13"/>
    </row>
    <row r="768" ht="31.5" customHeight="1">
      <c r="D768" s="6" t="str">
        <f t="shared" si="1"/>
        <v/>
      </c>
      <c r="H768" s="7"/>
      <c r="K768" s="7">
        <f t="shared" si="2"/>
        <v>0</v>
      </c>
      <c r="N768" s="7">
        <f t="shared" si="3"/>
        <v>0</v>
      </c>
      <c r="O768" s="7">
        <f t="shared" si="4"/>
        <v>0</v>
      </c>
      <c r="P768" s="7">
        <f t="shared" si="5"/>
        <v>0</v>
      </c>
      <c r="R768" s="15"/>
      <c r="S768" s="15"/>
      <c r="U768" s="16"/>
      <c r="W768" s="16"/>
      <c r="X768" s="13"/>
      <c r="Y768" s="13"/>
    </row>
    <row r="769" ht="31.5" customHeight="1">
      <c r="D769" s="6" t="str">
        <f t="shared" si="1"/>
        <v/>
      </c>
      <c r="H769" s="7"/>
      <c r="K769" s="7">
        <f t="shared" si="2"/>
        <v>0</v>
      </c>
      <c r="N769" s="7">
        <f t="shared" si="3"/>
        <v>0</v>
      </c>
      <c r="O769" s="7">
        <f t="shared" si="4"/>
        <v>0</v>
      </c>
      <c r="P769" s="7">
        <f t="shared" si="5"/>
        <v>0</v>
      </c>
      <c r="R769" s="15"/>
      <c r="S769" s="15"/>
      <c r="U769" s="16"/>
      <c r="W769" s="16"/>
      <c r="X769" s="13"/>
      <c r="Y769" s="13"/>
    </row>
    <row r="770" ht="31.5" customHeight="1">
      <c r="D770" s="6" t="str">
        <f t="shared" si="1"/>
        <v/>
      </c>
      <c r="H770" s="7"/>
      <c r="K770" s="7">
        <f t="shared" si="2"/>
        <v>0</v>
      </c>
      <c r="N770" s="7">
        <f t="shared" si="3"/>
        <v>0</v>
      </c>
      <c r="O770" s="7">
        <f t="shared" si="4"/>
        <v>0</v>
      </c>
      <c r="P770" s="7">
        <f t="shared" si="5"/>
        <v>0</v>
      </c>
      <c r="R770" s="15"/>
      <c r="S770" s="15"/>
      <c r="U770" s="16"/>
      <c r="W770" s="16"/>
      <c r="X770" s="13"/>
      <c r="Y770" s="13"/>
    </row>
    <row r="771" ht="31.5" customHeight="1">
      <c r="D771" s="6" t="str">
        <f t="shared" si="1"/>
        <v/>
      </c>
      <c r="H771" s="7"/>
      <c r="K771" s="7">
        <f t="shared" si="2"/>
        <v>0</v>
      </c>
      <c r="N771" s="7">
        <f t="shared" si="3"/>
        <v>0</v>
      </c>
      <c r="O771" s="7">
        <f t="shared" si="4"/>
        <v>0</v>
      </c>
      <c r="P771" s="7">
        <f t="shared" si="5"/>
        <v>0</v>
      </c>
      <c r="R771" s="15"/>
      <c r="S771" s="15"/>
      <c r="U771" s="16"/>
      <c r="W771" s="16"/>
      <c r="X771" s="13"/>
      <c r="Y771" s="13"/>
    </row>
    <row r="772" ht="31.5" customHeight="1">
      <c r="D772" s="6" t="str">
        <f t="shared" si="1"/>
        <v/>
      </c>
      <c r="H772" s="7"/>
      <c r="K772" s="7">
        <f t="shared" si="2"/>
        <v>0</v>
      </c>
      <c r="N772" s="7">
        <f t="shared" si="3"/>
        <v>0</v>
      </c>
      <c r="O772" s="7">
        <f t="shared" si="4"/>
        <v>0</v>
      </c>
      <c r="P772" s="7">
        <f t="shared" si="5"/>
        <v>0</v>
      </c>
      <c r="R772" s="15"/>
      <c r="S772" s="15"/>
      <c r="U772" s="16"/>
      <c r="W772" s="16"/>
      <c r="X772" s="13"/>
      <c r="Y772" s="13"/>
    </row>
    <row r="773" ht="31.5" customHeight="1">
      <c r="D773" s="6" t="str">
        <f t="shared" si="1"/>
        <v/>
      </c>
      <c r="H773" s="7"/>
      <c r="K773" s="7">
        <f t="shared" si="2"/>
        <v>0</v>
      </c>
      <c r="N773" s="7">
        <f t="shared" si="3"/>
        <v>0</v>
      </c>
      <c r="O773" s="7">
        <f t="shared" si="4"/>
        <v>0</v>
      </c>
      <c r="P773" s="7">
        <f t="shared" si="5"/>
        <v>0</v>
      </c>
      <c r="R773" s="15"/>
      <c r="S773" s="15"/>
      <c r="U773" s="16"/>
      <c r="W773" s="16"/>
      <c r="X773" s="13"/>
      <c r="Y773" s="13"/>
    </row>
    <row r="774" ht="31.5" customHeight="1">
      <c r="D774" s="6" t="str">
        <f t="shared" si="1"/>
        <v/>
      </c>
      <c r="H774" s="7"/>
      <c r="K774" s="7">
        <f t="shared" si="2"/>
        <v>0</v>
      </c>
      <c r="N774" s="7">
        <f t="shared" si="3"/>
        <v>0</v>
      </c>
      <c r="O774" s="7">
        <f t="shared" si="4"/>
        <v>0</v>
      </c>
      <c r="P774" s="7">
        <f t="shared" si="5"/>
        <v>0</v>
      </c>
      <c r="R774" s="15"/>
      <c r="S774" s="15"/>
      <c r="U774" s="16"/>
      <c r="W774" s="16"/>
      <c r="X774" s="13"/>
      <c r="Y774" s="13"/>
    </row>
    <row r="775" ht="31.5" customHeight="1">
      <c r="D775" s="6" t="str">
        <f t="shared" si="1"/>
        <v/>
      </c>
      <c r="H775" s="7"/>
      <c r="K775" s="7">
        <f t="shared" si="2"/>
        <v>0</v>
      </c>
      <c r="N775" s="7">
        <f t="shared" si="3"/>
        <v>0</v>
      </c>
      <c r="O775" s="7">
        <f t="shared" si="4"/>
        <v>0</v>
      </c>
      <c r="P775" s="7">
        <f t="shared" si="5"/>
        <v>0</v>
      </c>
      <c r="R775" s="15"/>
      <c r="S775" s="15"/>
      <c r="U775" s="16"/>
      <c r="W775" s="16"/>
      <c r="X775" s="13"/>
      <c r="Y775" s="13"/>
    </row>
    <row r="776" ht="31.5" customHeight="1">
      <c r="D776" s="6" t="str">
        <f t="shared" si="1"/>
        <v/>
      </c>
      <c r="H776" s="7"/>
      <c r="K776" s="7">
        <f t="shared" si="2"/>
        <v>0</v>
      </c>
      <c r="N776" s="7">
        <f t="shared" si="3"/>
        <v>0</v>
      </c>
      <c r="O776" s="7">
        <f t="shared" si="4"/>
        <v>0</v>
      </c>
      <c r="P776" s="7">
        <f t="shared" si="5"/>
        <v>0</v>
      </c>
      <c r="R776" s="15"/>
      <c r="S776" s="15"/>
      <c r="U776" s="16"/>
      <c r="W776" s="16"/>
      <c r="X776" s="13"/>
      <c r="Y776" s="13"/>
    </row>
    <row r="777" ht="31.5" customHeight="1">
      <c r="D777" s="6" t="str">
        <f t="shared" si="1"/>
        <v/>
      </c>
      <c r="H777" s="7"/>
      <c r="K777" s="7">
        <f t="shared" si="2"/>
        <v>0</v>
      </c>
      <c r="N777" s="7">
        <f t="shared" si="3"/>
        <v>0</v>
      </c>
      <c r="O777" s="7">
        <f t="shared" si="4"/>
        <v>0</v>
      </c>
      <c r="P777" s="7">
        <f t="shared" si="5"/>
        <v>0</v>
      </c>
      <c r="R777" s="15"/>
      <c r="S777" s="15"/>
      <c r="U777" s="16"/>
      <c r="W777" s="16"/>
      <c r="X777" s="13"/>
      <c r="Y777" s="13"/>
    </row>
    <row r="778" ht="31.5" customHeight="1">
      <c r="D778" s="6" t="str">
        <f t="shared" si="1"/>
        <v/>
      </c>
      <c r="H778" s="7"/>
      <c r="K778" s="7">
        <f t="shared" si="2"/>
        <v>0</v>
      </c>
      <c r="N778" s="7">
        <f t="shared" si="3"/>
        <v>0</v>
      </c>
      <c r="O778" s="7">
        <f t="shared" si="4"/>
        <v>0</v>
      </c>
      <c r="P778" s="7">
        <f t="shared" si="5"/>
        <v>0</v>
      </c>
      <c r="R778" s="15"/>
      <c r="S778" s="15"/>
      <c r="U778" s="16"/>
      <c r="W778" s="16"/>
      <c r="X778" s="13"/>
      <c r="Y778" s="13"/>
    </row>
    <row r="779" ht="31.5" customHeight="1">
      <c r="D779" s="6" t="str">
        <f t="shared" si="1"/>
        <v/>
      </c>
      <c r="H779" s="7"/>
      <c r="K779" s="7">
        <f t="shared" si="2"/>
        <v>0</v>
      </c>
      <c r="N779" s="7">
        <f t="shared" si="3"/>
        <v>0</v>
      </c>
      <c r="O779" s="7">
        <f t="shared" si="4"/>
        <v>0</v>
      </c>
      <c r="P779" s="7">
        <f t="shared" si="5"/>
        <v>0</v>
      </c>
      <c r="R779" s="15"/>
      <c r="S779" s="15"/>
      <c r="U779" s="16"/>
      <c r="W779" s="16"/>
      <c r="X779" s="13"/>
      <c r="Y779" s="13"/>
    </row>
    <row r="780" ht="31.5" customHeight="1">
      <c r="D780" s="6" t="str">
        <f t="shared" si="1"/>
        <v/>
      </c>
      <c r="H780" s="7"/>
      <c r="K780" s="7">
        <f t="shared" si="2"/>
        <v>0</v>
      </c>
      <c r="N780" s="7">
        <f t="shared" si="3"/>
        <v>0</v>
      </c>
      <c r="O780" s="7">
        <f t="shared" si="4"/>
        <v>0</v>
      </c>
      <c r="P780" s="7">
        <f t="shared" si="5"/>
        <v>0</v>
      </c>
      <c r="R780" s="15"/>
      <c r="S780" s="15"/>
      <c r="U780" s="16"/>
      <c r="W780" s="16"/>
      <c r="X780" s="13"/>
      <c r="Y780" s="13"/>
    </row>
    <row r="781" ht="31.5" customHeight="1">
      <c r="D781" s="6" t="str">
        <f t="shared" si="1"/>
        <v/>
      </c>
      <c r="H781" s="7"/>
      <c r="K781" s="7">
        <f t="shared" si="2"/>
        <v>0</v>
      </c>
      <c r="N781" s="7">
        <f t="shared" si="3"/>
        <v>0</v>
      </c>
      <c r="O781" s="7">
        <f t="shared" si="4"/>
        <v>0</v>
      </c>
      <c r="P781" s="7">
        <f t="shared" si="5"/>
        <v>0</v>
      </c>
      <c r="R781" s="15"/>
      <c r="S781" s="15"/>
      <c r="U781" s="16"/>
      <c r="W781" s="16"/>
      <c r="X781" s="13"/>
      <c r="Y781" s="13"/>
    </row>
    <row r="782" ht="31.5" customHeight="1">
      <c r="D782" s="6" t="str">
        <f t="shared" si="1"/>
        <v/>
      </c>
      <c r="H782" s="7"/>
      <c r="K782" s="7">
        <f t="shared" si="2"/>
        <v>0</v>
      </c>
      <c r="N782" s="7">
        <f t="shared" si="3"/>
        <v>0</v>
      </c>
      <c r="O782" s="7">
        <f t="shared" si="4"/>
        <v>0</v>
      </c>
      <c r="P782" s="7">
        <f t="shared" si="5"/>
        <v>0</v>
      </c>
      <c r="R782" s="15"/>
      <c r="S782" s="15"/>
      <c r="U782" s="16"/>
      <c r="W782" s="16"/>
      <c r="X782" s="13"/>
      <c r="Y782" s="13"/>
    </row>
    <row r="783" ht="31.5" customHeight="1">
      <c r="D783" s="6" t="str">
        <f t="shared" si="1"/>
        <v/>
      </c>
      <c r="H783" s="7"/>
      <c r="K783" s="7">
        <f t="shared" si="2"/>
        <v>0</v>
      </c>
      <c r="N783" s="7">
        <f t="shared" si="3"/>
        <v>0</v>
      </c>
      <c r="O783" s="7">
        <f t="shared" si="4"/>
        <v>0</v>
      </c>
      <c r="P783" s="7">
        <f t="shared" si="5"/>
        <v>0</v>
      </c>
      <c r="R783" s="15"/>
      <c r="S783" s="15"/>
      <c r="U783" s="16"/>
      <c r="W783" s="16"/>
      <c r="X783" s="13"/>
      <c r="Y783" s="13"/>
    </row>
    <row r="784" ht="31.5" customHeight="1">
      <c r="D784" s="6" t="str">
        <f t="shared" si="1"/>
        <v/>
      </c>
      <c r="H784" s="7"/>
      <c r="K784" s="7">
        <f t="shared" si="2"/>
        <v>0</v>
      </c>
      <c r="N784" s="7">
        <f t="shared" si="3"/>
        <v>0</v>
      </c>
      <c r="O784" s="7">
        <f t="shared" si="4"/>
        <v>0</v>
      </c>
      <c r="P784" s="7">
        <f t="shared" si="5"/>
        <v>0</v>
      </c>
      <c r="R784" s="15"/>
      <c r="S784" s="15"/>
      <c r="U784" s="16"/>
      <c r="W784" s="16"/>
      <c r="X784" s="13"/>
      <c r="Y784" s="13"/>
    </row>
    <row r="785" ht="31.5" customHeight="1">
      <c r="D785" s="6" t="str">
        <f t="shared" si="1"/>
        <v/>
      </c>
      <c r="H785" s="7"/>
      <c r="K785" s="7">
        <f t="shared" si="2"/>
        <v>0</v>
      </c>
      <c r="N785" s="7">
        <f t="shared" si="3"/>
        <v>0</v>
      </c>
      <c r="O785" s="7">
        <f t="shared" si="4"/>
        <v>0</v>
      </c>
      <c r="P785" s="7">
        <f t="shared" si="5"/>
        <v>0</v>
      </c>
      <c r="R785" s="15"/>
      <c r="S785" s="15"/>
      <c r="U785" s="16"/>
      <c r="W785" s="16"/>
      <c r="X785" s="13"/>
      <c r="Y785" s="13"/>
    </row>
    <row r="786" ht="31.5" customHeight="1">
      <c r="D786" s="6" t="str">
        <f t="shared" si="1"/>
        <v/>
      </c>
      <c r="H786" s="7"/>
      <c r="K786" s="7">
        <f t="shared" si="2"/>
        <v>0</v>
      </c>
      <c r="N786" s="7">
        <f t="shared" si="3"/>
        <v>0</v>
      </c>
      <c r="O786" s="7">
        <f t="shared" si="4"/>
        <v>0</v>
      </c>
      <c r="P786" s="7">
        <f t="shared" si="5"/>
        <v>0</v>
      </c>
      <c r="R786" s="15"/>
      <c r="S786" s="15"/>
      <c r="U786" s="16"/>
      <c r="W786" s="16"/>
      <c r="X786" s="13"/>
      <c r="Y786" s="13"/>
    </row>
    <row r="787" ht="31.5" customHeight="1">
      <c r="D787" s="6" t="str">
        <f t="shared" si="1"/>
        <v/>
      </c>
      <c r="H787" s="7"/>
      <c r="K787" s="7">
        <f t="shared" si="2"/>
        <v>0</v>
      </c>
      <c r="N787" s="7">
        <f t="shared" si="3"/>
        <v>0</v>
      </c>
      <c r="O787" s="7">
        <f t="shared" si="4"/>
        <v>0</v>
      </c>
      <c r="P787" s="7">
        <f t="shared" si="5"/>
        <v>0</v>
      </c>
      <c r="R787" s="15"/>
      <c r="S787" s="15"/>
      <c r="U787" s="16"/>
      <c r="W787" s="16"/>
      <c r="X787" s="13"/>
      <c r="Y787" s="13"/>
    </row>
    <row r="788" ht="31.5" customHeight="1">
      <c r="D788" s="6" t="str">
        <f t="shared" si="1"/>
        <v/>
      </c>
      <c r="H788" s="7"/>
      <c r="K788" s="7">
        <f t="shared" si="2"/>
        <v>0</v>
      </c>
      <c r="N788" s="7">
        <f t="shared" si="3"/>
        <v>0</v>
      </c>
      <c r="O788" s="7">
        <f t="shared" si="4"/>
        <v>0</v>
      </c>
      <c r="P788" s="7">
        <f t="shared" si="5"/>
        <v>0</v>
      </c>
      <c r="R788" s="15"/>
      <c r="S788" s="15"/>
      <c r="U788" s="16"/>
      <c r="W788" s="16"/>
      <c r="X788" s="13"/>
      <c r="Y788" s="13"/>
    </row>
    <row r="789" ht="31.5" customHeight="1">
      <c r="D789" s="6" t="str">
        <f t="shared" si="1"/>
        <v/>
      </c>
      <c r="H789" s="7"/>
      <c r="K789" s="7">
        <f t="shared" si="2"/>
        <v>0</v>
      </c>
      <c r="N789" s="7">
        <f t="shared" si="3"/>
        <v>0</v>
      </c>
      <c r="O789" s="7">
        <f t="shared" si="4"/>
        <v>0</v>
      </c>
      <c r="P789" s="7">
        <f t="shared" si="5"/>
        <v>0</v>
      </c>
      <c r="R789" s="15"/>
      <c r="S789" s="15"/>
      <c r="U789" s="16"/>
      <c r="W789" s="16"/>
      <c r="X789" s="13"/>
      <c r="Y789" s="13"/>
    </row>
    <row r="790" ht="31.5" customHeight="1">
      <c r="D790" s="6" t="str">
        <f t="shared" si="1"/>
        <v/>
      </c>
      <c r="H790" s="7"/>
      <c r="K790" s="7">
        <f t="shared" si="2"/>
        <v>0</v>
      </c>
      <c r="N790" s="7">
        <f t="shared" si="3"/>
        <v>0</v>
      </c>
      <c r="O790" s="7">
        <f t="shared" si="4"/>
        <v>0</v>
      </c>
      <c r="P790" s="7">
        <f t="shared" si="5"/>
        <v>0</v>
      </c>
      <c r="R790" s="15"/>
      <c r="S790" s="15"/>
      <c r="U790" s="16"/>
      <c r="W790" s="16"/>
      <c r="X790" s="13"/>
      <c r="Y790" s="13"/>
    </row>
    <row r="791" ht="31.5" customHeight="1">
      <c r="D791" s="6" t="str">
        <f t="shared" si="1"/>
        <v/>
      </c>
      <c r="H791" s="7"/>
      <c r="K791" s="7">
        <f t="shared" si="2"/>
        <v>0</v>
      </c>
      <c r="N791" s="7">
        <f t="shared" si="3"/>
        <v>0</v>
      </c>
      <c r="O791" s="7">
        <f t="shared" si="4"/>
        <v>0</v>
      </c>
      <c r="P791" s="7">
        <f t="shared" si="5"/>
        <v>0</v>
      </c>
      <c r="R791" s="15"/>
      <c r="S791" s="15"/>
      <c r="U791" s="16"/>
      <c r="W791" s="16"/>
      <c r="X791" s="13"/>
      <c r="Y791" s="13"/>
    </row>
    <row r="792" ht="31.5" customHeight="1">
      <c r="D792" s="6" t="str">
        <f t="shared" si="1"/>
        <v/>
      </c>
      <c r="H792" s="7"/>
      <c r="K792" s="7">
        <f t="shared" si="2"/>
        <v>0</v>
      </c>
      <c r="N792" s="7">
        <f t="shared" si="3"/>
        <v>0</v>
      </c>
      <c r="O792" s="7">
        <f t="shared" si="4"/>
        <v>0</v>
      </c>
      <c r="P792" s="7">
        <f t="shared" si="5"/>
        <v>0</v>
      </c>
      <c r="R792" s="15"/>
      <c r="S792" s="15"/>
      <c r="U792" s="16"/>
      <c r="W792" s="16"/>
      <c r="X792" s="13"/>
      <c r="Y792" s="13"/>
    </row>
    <row r="793" ht="31.5" customHeight="1">
      <c r="D793" s="6" t="str">
        <f t="shared" si="1"/>
        <v/>
      </c>
      <c r="H793" s="7"/>
      <c r="K793" s="7">
        <f t="shared" si="2"/>
        <v>0</v>
      </c>
      <c r="N793" s="7">
        <f t="shared" si="3"/>
        <v>0</v>
      </c>
      <c r="O793" s="7">
        <f t="shared" si="4"/>
        <v>0</v>
      </c>
      <c r="P793" s="7">
        <f t="shared" si="5"/>
        <v>0</v>
      </c>
      <c r="R793" s="15"/>
      <c r="S793" s="15"/>
      <c r="U793" s="16"/>
      <c r="W793" s="16"/>
      <c r="X793" s="13"/>
      <c r="Y793" s="13"/>
    </row>
    <row r="794" ht="31.5" customHeight="1">
      <c r="D794" s="6" t="str">
        <f t="shared" si="1"/>
        <v/>
      </c>
      <c r="H794" s="7"/>
      <c r="K794" s="7">
        <f t="shared" si="2"/>
        <v>0</v>
      </c>
      <c r="N794" s="7">
        <f t="shared" si="3"/>
        <v>0</v>
      </c>
      <c r="O794" s="7">
        <f t="shared" si="4"/>
        <v>0</v>
      </c>
      <c r="P794" s="7">
        <f t="shared" si="5"/>
        <v>0</v>
      </c>
      <c r="R794" s="15"/>
      <c r="S794" s="15"/>
      <c r="U794" s="16"/>
      <c r="W794" s="16"/>
      <c r="X794" s="13"/>
      <c r="Y794" s="13"/>
    </row>
    <row r="795" ht="31.5" customHeight="1">
      <c r="D795" s="6" t="str">
        <f t="shared" si="1"/>
        <v/>
      </c>
      <c r="H795" s="7"/>
      <c r="K795" s="7">
        <f t="shared" si="2"/>
        <v>0</v>
      </c>
      <c r="N795" s="7">
        <f t="shared" si="3"/>
        <v>0</v>
      </c>
      <c r="O795" s="7">
        <f t="shared" si="4"/>
        <v>0</v>
      </c>
      <c r="P795" s="7">
        <f t="shared" si="5"/>
        <v>0</v>
      </c>
      <c r="R795" s="15"/>
      <c r="S795" s="15"/>
      <c r="U795" s="16"/>
      <c r="W795" s="16"/>
      <c r="X795" s="13"/>
      <c r="Y795" s="13"/>
    </row>
    <row r="796" ht="31.5" customHeight="1">
      <c r="D796" s="6" t="str">
        <f t="shared" si="1"/>
        <v/>
      </c>
      <c r="H796" s="7"/>
      <c r="K796" s="7">
        <f t="shared" si="2"/>
        <v>0</v>
      </c>
      <c r="N796" s="7">
        <f t="shared" si="3"/>
        <v>0</v>
      </c>
      <c r="O796" s="7">
        <f t="shared" si="4"/>
        <v>0</v>
      </c>
      <c r="P796" s="7">
        <f t="shared" si="5"/>
        <v>0</v>
      </c>
      <c r="R796" s="15"/>
      <c r="S796" s="15"/>
      <c r="U796" s="16"/>
      <c r="W796" s="16"/>
      <c r="X796" s="13"/>
      <c r="Y796" s="13"/>
    </row>
    <row r="797" ht="31.5" customHeight="1">
      <c r="D797" s="6" t="str">
        <f t="shared" si="1"/>
        <v/>
      </c>
      <c r="H797" s="7"/>
      <c r="K797" s="7">
        <f t="shared" si="2"/>
        <v>0</v>
      </c>
      <c r="N797" s="7">
        <f t="shared" si="3"/>
        <v>0</v>
      </c>
      <c r="O797" s="7">
        <f t="shared" si="4"/>
        <v>0</v>
      </c>
      <c r="P797" s="7">
        <f t="shared" si="5"/>
        <v>0</v>
      </c>
      <c r="R797" s="15"/>
      <c r="S797" s="15"/>
      <c r="U797" s="16"/>
      <c r="W797" s="16"/>
      <c r="X797" s="13"/>
      <c r="Y797" s="13"/>
    </row>
    <row r="798" ht="31.5" customHeight="1">
      <c r="D798" s="6" t="str">
        <f t="shared" si="1"/>
        <v/>
      </c>
      <c r="H798" s="7"/>
      <c r="K798" s="7">
        <f t="shared" si="2"/>
        <v>0</v>
      </c>
      <c r="N798" s="7">
        <f t="shared" si="3"/>
        <v>0</v>
      </c>
      <c r="O798" s="7">
        <f t="shared" si="4"/>
        <v>0</v>
      </c>
      <c r="P798" s="7">
        <f t="shared" si="5"/>
        <v>0</v>
      </c>
      <c r="R798" s="15"/>
      <c r="S798" s="15"/>
      <c r="U798" s="16"/>
      <c r="W798" s="16"/>
      <c r="X798" s="13"/>
      <c r="Y798" s="13"/>
    </row>
    <row r="799" ht="31.5" customHeight="1">
      <c r="D799" s="6" t="str">
        <f t="shared" si="1"/>
        <v/>
      </c>
      <c r="H799" s="7"/>
      <c r="K799" s="7">
        <f t="shared" si="2"/>
        <v>0</v>
      </c>
      <c r="N799" s="7">
        <f t="shared" si="3"/>
        <v>0</v>
      </c>
      <c r="O799" s="7">
        <f t="shared" si="4"/>
        <v>0</v>
      </c>
      <c r="P799" s="7">
        <f t="shared" si="5"/>
        <v>0</v>
      </c>
      <c r="R799" s="15"/>
      <c r="S799" s="15"/>
      <c r="U799" s="16"/>
      <c r="W799" s="16"/>
      <c r="X799" s="13"/>
      <c r="Y799" s="13"/>
    </row>
    <row r="800" ht="31.5" customHeight="1">
      <c r="D800" s="6" t="str">
        <f t="shared" si="1"/>
        <v/>
      </c>
      <c r="H800" s="7"/>
      <c r="K800" s="7">
        <f t="shared" si="2"/>
        <v>0</v>
      </c>
      <c r="N800" s="7">
        <f t="shared" si="3"/>
        <v>0</v>
      </c>
      <c r="O800" s="7">
        <f t="shared" si="4"/>
        <v>0</v>
      </c>
      <c r="P800" s="7">
        <f t="shared" si="5"/>
        <v>0</v>
      </c>
      <c r="R800" s="15"/>
      <c r="S800" s="15"/>
      <c r="U800" s="16"/>
      <c r="W800" s="16"/>
      <c r="X800" s="13"/>
      <c r="Y800" s="13"/>
    </row>
    <row r="801" ht="31.5" customHeight="1">
      <c r="D801" s="6" t="str">
        <f t="shared" si="1"/>
        <v/>
      </c>
      <c r="H801" s="7"/>
      <c r="K801" s="7">
        <f t="shared" si="2"/>
        <v>0</v>
      </c>
      <c r="N801" s="7">
        <f t="shared" si="3"/>
        <v>0</v>
      </c>
      <c r="O801" s="7">
        <f t="shared" si="4"/>
        <v>0</v>
      </c>
      <c r="P801" s="7">
        <f t="shared" si="5"/>
        <v>0</v>
      </c>
      <c r="R801" s="15"/>
      <c r="S801" s="15"/>
      <c r="U801" s="16"/>
      <c r="W801" s="16"/>
      <c r="X801" s="13"/>
      <c r="Y801" s="13"/>
    </row>
    <row r="802" ht="31.5" customHeight="1">
      <c r="D802" s="6" t="str">
        <f t="shared" si="1"/>
        <v/>
      </c>
      <c r="H802" s="7"/>
      <c r="K802" s="7">
        <f t="shared" si="2"/>
        <v>0</v>
      </c>
      <c r="N802" s="7">
        <f t="shared" si="3"/>
        <v>0</v>
      </c>
      <c r="O802" s="7">
        <f t="shared" si="4"/>
        <v>0</v>
      </c>
      <c r="P802" s="7">
        <f t="shared" si="5"/>
        <v>0</v>
      </c>
      <c r="R802" s="15"/>
      <c r="S802" s="15"/>
      <c r="U802" s="16"/>
      <c r="W802" s="16"/>
      <c r="X802" s="13"/>
      <c r="Y802" s="13"/>
    </row>
    <row r="803" ht="31.5" customHeight="1">
      <c r="D803" s="6" t="str">
        <f t="shared" si="1"/>
        <v/>
      </c>
      <c r="H803" s="7"/>
      <c r="K803" s="7">
        <f t="shared" si="2"/>
        <v>0</v>
      </c>
      <c r="N803" s="7">
        <f t="shared" si="3"/>
        <v>0</v>
      </c>
      <c r="O803" s="7">
        <f t="shared" si="4"/>
        <v>0</v>
      </c>
      <c r="P803" s="7">
        <f t="shared" si="5"/>
        <v>0</v>
      </c>
      <c r="R803" s="15"/>
      <c r="S803" s="15"/>
      <c r="U803" s="16"/>
      <c r="W803" s="16"/>
      <c r="X803" s="13"/>
      <c r="Y803" s="13"/>
    </row>
    <row r="804" ht="31.5" customHeight="1">
      <c r="D804" s="6" t="str">
        <f t="shared" si="1"/>
        <v/>
      </c>
      <c r="H804" s="7"/>
      <c r="K804" s="7">
        <f t="shared" si="2"/>
        <v>0</v>
      </c>
      <c r="N804" s="7">
        <f t="shared" si="3"/>
        <v>0</v>
      </c>
      <c r="O804" s="7">
        <f t="shared" si="4"/>
        <v>0</v>
      </c>
      <c r="P804" s="7">
        <f t="shared" si="5"/>
        <v>0</v>
      </c>
      <c r="R804" s="15"/>
      <c r="S804" s="15"/>
      <c r="U804" s="16"/>
      <c r="W804" s="16"/>
      <c r="X804" s="13"/>
      <c r="Y804" s="13"/>
    </row>
    <row r="805" ht="31.5" customHeight="1">
      <c r="D805" s="6" t="str">
        <f t="shared" si="1"/>
        <v/>
      </c>
      <c r="H805" s="7"/>
      <c r="K805" s="7">
        <f t="shared" si="2"/>
        <v>0</v>
      </c>
      <c r="N805" s="7">
        <f t="shared" si="3"/>
        <v>0</v>
      </c>
      <c r="O805" s="7">
        <f t="shared" si="4"/>
        <v>0</v>
      </c>
      <c r="P805" s="7">
        <f t="shared" si="5"/>
        <v>0</v>
      </c>
      <c r="R805" s="15"/>
      <c r="S805" s="15"/>
      <c r="U805" s="16"/>
      <c r="W805" s="16"/>
      <c r="X805" s="13"/>
      <c r="Y805" s="13"/>
    </row>
    <row r="806" ht="31.5" customHeight="1">
      <c r="D806" s="6" t="str">
        <f t="shared" si="1"/>
        <v/>
      </c>
      <c r="H806" s="7"/>
      <c r="K806" s="7">
        <f t="shared" si="2"/>
        <v>0</v>
      </c>
      <c r="N806" s="7">
        <f t="shared" si="3"/>
        <v>0</v>
      </c>
      <c r="O806" s="7">
        <f t="shared" si="4"/>
        <v>0</v>
      </c>
      <c r="P806" s="7">
        <f t="shared" si="5"/>
        <v>0</v>
      </c>
      <c r="R806" s="15"/>
      <c r="S806" s="15"/>
      <c r="U806" s="16"/>
      <c r="W806" s="16"/>
      <c r="X806" s="13"/>
      <c r="Y806" s="13"/>
    </row>
    <row r="807" ht="31.5" customHeight="1">
      <c r="D807" s="6" t="str">
        <f t="shared" si="1"/>
        <v/>
      </c>
      <c r="H807" s="7"/>
      <c r="K807" s="7">
        <f t="shared" si="2"/>
        <v>0</v>
      </c>
      <c r="N807" s="7">
        <f t="shared" si="3"/>
        <v>0</v>
      </c>
      <c r="O807" s="7">
        <f t="shared" si="4"/>
        <v>0</v>
      </c>
      <c r="P807" s="7">
        <f t="shared" si="5"/>
        <v>0</v>
      </c>
      <c r="R807" s="15"/>
      <c r="S807" s="15"/>
      <c r="U807" s="16"/>
      <c r="W807" s="16"/>
      <c r="X807" s="13"/>
      <c r="Y807" s="13"/>
    </row>
    <row r="808" ht="31.5" customHeight="1">
      <c r="D808" s="6" t="str">
        <f t="shared" si="1"/>
        <v/>
      </c>
      <c r="H808" s="7"/>
      <c r="K808" s="7">
        <f t="shared" si="2"/>
        <v>0</v>
      </c>
      <c r="N808" s="7">
        <f t="shared" si="3"/>
        <v>0</v>
      </c>
      <c r="O808" s="7">
        <f t="shared" si="4"/>
        <v>0</v>
      </c>
      <c r="P808" s="7">
        <f t="shared" si="5"/>
        <v>0</v>
      </c>
      <c r="R808" s="15"/>
      <c r="S808" s="15"/>
      <c r="U808" s="16"/>
      <c r="W808" s="16"/>
      <c r="X808" s="13"/>
      <c r="Y808" s="13"/>
    </row>
    <row r="809" ht="31.5" customHeight="1">
      <c r="D809" s="6" t="str">
        <f t="shared" si="1"/>
        <v/>
      </c>
      <c r="H809" s="7"/>
      <c r="K809" s="7">
        <f t="shared" si="2"/>
        <v>0</v>
      </c>
      <c r="N809" s="7">
        <f t="shared" si="3"/>
        <v>0</v>
      </c>
      <c r="O809" s="7">
        <f t="shared" si="4"/>
        <v>0</v>
      </c>
      <c r="P809" s="7">
        <f t="shared" si="5"/>
        <v>0</v>
      </c>
      <c r="R809" s="15"/>
      <c r="S809" s="15"/>
      <c r="U809" s="16"/>
      <c r="W809" s="16"/>
      <c r="X809" s="13"/>
      <c r="Y809" s="13"/>
    </row>
    <row r="810" ht="31.5" customHeight="1">
      <c r="D810" s="6" t="str">
        <f t="shared" si="1"/>
        <v/>
      </c>
      <c r="H810" s="7"/>
      <c r="K810" s="7">
        <f t="shared" si="2"/>
        <v>0</v>
      </c>
      <c r="N810" s="7">
        <f t="shared" si="3"/>
        <v>0</v>
      </c>
      <c r="O810" s="7">
        <f t="shared" si="4"/>
        <v>0</v>
      </c>
      <c r="P810" s="7">
        <f t="shared" si="5"/>
        <v>0</v>
      </c>
      <c r="R810" s="15"/>
      <c r="S810" s="15"/>
      <c r="U810" s="16"/>
      <c r="W810" s="16"/>
      <c r="X810" s="13"/>
      <c r="Y810" s="13"/>
    </row>
    <row r="811" ht="31.5" customHeight="1">
      <c r="D811" s="6" t="str">
        <f t="shared" si="1"/>
        <v/>
      </c>
      <c r="H811" s="7"/>
      <c r="K811" s="7">
        <f t="shared" si="2"/>
        <v>0</v>
      </c>
      <c r="N811" s="7">
        <f t="shared" si="3"/>
        <v>0</v>
      </c>
      <c r="O811" s="7">
        <f t="shared" si="4"/>
        <v>0</v>
      </c>
      <c r="P811" s="7">
        <f t="shared" si="5"/>
        <v>0</v>
      </c>
      <c r="R811" s="15"/>
      <c r="S811" s="15"/>
      <c r="U811" s="16"/>
      <c r="W811" s="16"/>
      <c r="X811" s="13"/>
      <c r="Y811" s="13"/>
    </row>
    <row r="812" ht="31.5" customHeight="1">
      <c r="D812" s="6" t="str">
        <f t="shared" si="1"/>
        <v/>
      </c>
      <c r="H812" s="7"/>
      <c r="K812" s="7">
        <f t="shared" si="2"/>
        <v>0</v>
      </c>
      <c r="N812" s="7">
        <f t="shared" si="3"/>
        <v>0</v>
      </c>
      <c r="O812" s="7">
        <f t="shared" si="4"/>
        <v>0</v>
      </c>
      <c r="P812" s="7">
        <f t="shared" si="5"/>
        <v>0</v>
      </c>
      <c r="R812" s="15"/>
      <c r="S812" s="15"/>
      <c r="U812" s="16"/>
      <c r="W812" s="16"/>
      <c r="X812" s="13"/>
      <c r="Y812" s="13"/>
    </row>
    <row r="813" ht="31.5" customHeight="1">
      <c r="D813" s="6" t="str">
        <f t="shared" si="1"/>
        <v/>
      </c>
      <c r="H813" s="7"/>
      <c r="K813" s="7">
        <f t="shared" si="2"/>
        <v>0</v>
      </c>
      <c r="N813" s="7">
        <f t="shared" si="3"/>
        <v>0</v>
      </c>
      <c r="O813" s="7">
        <f t="shared" si="4"/>
        <v>0</v>
      </c>
      <c r="P813" s="7">
        <f t="shared" si="5"/>
        <v>0</v>
      </c>
      <c r="R813" s="15"/>
      <c r="S813" s="15"/>
      <c r="U813" s="16"/>
      <c r="W813" s="16"/>
      <c r="X813" s="13"/>
      <c r="Y813" s="13"/>
    </row>
    <row r="814" ht="31.5" customHeight="1">
      <c r="D814" s="6" t="str">
        <f t="shared" si="1"/>
        <v/>
      </c>
      <c r="H814" s="7"/>
      <c r="K814" s="7">
        <f t="shared" si="2"/>
        <v>0</v>
      </c>
      <c r="N814" s="7">
        <f t="shared" si="3"/>
        <v>0</v>
      </c>
      <c r="O814" s="7">
        <f t="shared" si="4"/>
        <v>0</v>
      </c>
      <c r="P814" s="7">
        <f t="shared" si="5"/>
        <v>0</v>
      </c>
      <c r="R814" s="15"/>
      <c r="S814" s="15"/>
      <c r="U814" s="16"/>
      <c r="W814" s="16"/>
      <c r="X814" s="13"/>
      <c r="Y814" s="13"/>
    </row>
    <row r="815" ht="31.5" customHeight="1">
      <c r="D815" s="6" t="str">
        <f t="shared" si="1"/>
        <v/>
      </c>
      <c r="H815" s="7"/>
      <c r="K815" s="7">
        <f t="shared" si="2"/>
        <v>0</v>
      </c>
      <c r="N815" s="7">
        <f t="shared" si="3"/>
        <v>0</v>
      </c>
      <c r="O815" s="7">
        <f t="shared" si="4"/>
        <v>0</v>
      </c>
      <c r="P815" s="7">
        <f t="shared" si="5"/>
        <v>0</v>
      </c>
      <c r="R815" s="15"/>
      <c r="S815" s="15"/>
      <c r="U815" s="16"/>
      <c r="W815" s="16"/>
      <c r="X815" s="13"/>
      <c r="Y815" s="13"/>
    </row>
    <row r="816" ht="31.5" customHeight="1">
      <c r="D816" s="6" t="str">
        <f t="shared" si="1"/>
        <v/>
      </c>
      <c r="H816" s="7"/>
      <c r="K816" s="7">
        <f t="shared" si="2"/>
        <v>0</v>
      </c>
      <c r="N816" s="7">
        <f t="shared" si="3"/>
        <v>0</v>
      </c>
      <c r="O816" s="7">
        <f t="shared" si="4"/>
        <v>0</v>
      </c>
      <c r="P816" s="7">
        <f t="shared" si="5"/>
        <v>0</v>
      </c>
      <c r="R816" s="15"/>
      <c r="S816" s="15"/>
      <c r="U816" s="16"/>
      <c r="W816" s="16"/>
      <c r="X816" s="13"/>
      <c r="Y816" s="13"/>
    </row>
    <row r="817" ht="31.5" customHeight="1">
      <c r="D817" s="6" t="str">
        <f t="shared" si="1"/>
        <v/>
      </c>
      <c r="H817" s="7"/>
      <c r="K817" s="7">
        <f t="shared" si="2"/>
        <v>0</v>
      </c>
      <c r="N817" s="7">
        <f t="shared" si="3"/>
        <v>0</v>
      </c>
      <c r="O817" s="7">
        <f t="shared" si="4"/>
        <v>0</v>
      </c>
      <c r="P817" s="7">
        <f t="shared" si="5"/>
        <v>0</v>
      </c>
      <c r="R817" s="15"/>
      <c r="S817" s="15"/>
      <c r="U817" s="16"/>
      <c r="W817" s="16"/>
      <c r="X817" s="13"/>
      <c r="Y817" s="13"/>
    </row>
    <row r="818" ht="31.5" customHeight="1">
      <c r="D818" s="6" t="str">
        <f t="shared" si="1"/>
        <v/>
      </c>
      <c r="H818" s="7"/>
      <c r="K818" s="7">
        <f t="shared" si="2"/>
        <v>0</v>
      </c>
      <c r="N818" s="7">
        <f t="shared" si="3"/>
        <v>0</v>
      </c>
      <c r="O818" s="7">
        <f t="shared" si="4"/>
        <v>0</v>
      </c>
      <c r="P818" s="7">
        <f t="shared" si="5"/>
        <v>0</v>
      </c>
      <c r="R818" s="15"/>
      <c r="S818" s="15"/>
      <c r="U818" s="16"/>
      <c r="W818" s="16"/>
      <c r="X818" s="13"/>
      <c r="Y818" s="13"/>
    </row>
    <row r="819" ht="31.5" customHeight="1">
      <c r="D819" s="6" t="str">
        <f t="shared" si="1"/>
        <v/>
      </c>
      <c r="H819" s="7"/>
      <c r="K819" s="7">
        <f t="shared" si="2"/>
        <v>0</v>
      </c>
      <c r="N819" s="7">
        <f t="shared" si="3"/>
        <v>0</v>
      </c>
      <c r="O819" s="7">
        <f t="shared" si="4"/>
        <v>0</v>
      </c>
      <c r="P819" s="7">
        <f t="shared" si="5"/>
        <v>0</v>
      </c>
      <c r="R819" s="15"/>
      <c r="S819" s="15"/>
      <c r="U819" s="16"/>
      <c r="W819" s="16"/>
      <c r="X819" s="13"/>
      <c r="Y819" s="13"/>
    </row>
    <row r="820" ht="31.5" customHeight="1">
      <c r="D820" s="6" t="str">
        <f t="shared" si="1"/>
        <v/>
      </c>
      <c r="H820" s="7"/>
      <c r="K820" s="7">
        <f t="shared" si="2"/>
        <v>0</v>
      </c>
      <c r="N820" s="7">
        <f t="shared" si="3"/>
        <v>0</v>
      </c>
      <c r="O820" s="7">
        <f t="shared" si="4"/>
        <v>0</v>
      </c>
      <c r="P820" s="7">
        <f t="shared" si="5"/>
        <v>0</v>
      </c>
      <c r="R820" s="15"/>
      <c r="S820" s="15"/>
      <c r="U820" s="16"/>
      <c r="W820" s="16"/>
      <c r="X820" s="13"/>
      <c r="Y820" s="13"/>
    </row>
    <row r="821" ht="31.5" customHeight="1">
      <c r="D821" s="6" t="str">
        <f t="shared" si="1"/>
        <v/>
      </c>
      <c r="H821" s="7"/>
      <c r="K821" s="7">
        <f t="shared" si="2"/>
        <v>0</v>
      </c>
      <c r="N821" s="7">
        <f t="shared" si="3"/>
        <v>0</v>
      </c>
      <c r="O821" s="7">
        <f t="shared" si="4"/>
        <v>0</v>
      </c>
      <c r="P821" s="7">
        <f t="shared" si="5"/>
        <v>0</v>
      </c>
      <c r="R821" s="15"/>
      <c r="S821" s="15"/>
      <c r="U821" s="16"/>
      <c r="W821" s="16"/>
      <c r="X821" s="13"/>
      <c r="Y821" s="13"/>
    </row>
    <row r="822" ht="31.5" customHeight="1">
      <c r="D822" s="6" t="str">
        <f t="shared" si="1"/>
        <v/>
      </c>
      <c r="H822" s="7"/>
      <c r="K822" s="7">
        <f t="shared" si="2"/>
        <v>0</v>
      </c>
      <c r="N822" s="7">
        <f t="shared" si="3"/>
        <v>0</v>
      </c>
      <c r="O822" s="7">
        <f t="shared" si="4"/>
        <v>0</v>
      </c>
      <c r="P822" s="7">
        <f t="shared" si="5"/>
        <v>0</v>
      </c>
      <c r="R822" s="15"/>
      <c r="S822" s="15"/>
      <c r="U822" s="16"/>
      <c r="W822" s="16"/>
      <c r="X822" s="13"/>
      <c r="Y822" s="13"/>
    </row>
    <row r="823" ht="31.5" customHeight="1">
      <c r="D823" s="6" t="str">
        <f t="shared" si="1"/>
        <v/>
      </c>
      <c r="H823" s="7"/>
      <c r="K823" s="7">
        <f t="shared" si="2"/>
        <v>0</v>
      </c>
      <c r="N823" s="7">
        <f t="shared" si="3"/>
        <v>0</v>
      </c>
      <c r="O823" s="7">
        <f t="shared" si="4"/>
        <v>0</v>
      </c>
      <c r="P823" s="7">
        <f t="shared" si="5"/>
        <v>0</v>
      </c>
      <c r="R823" s="15"/>
      <c r="S823" s="15"/>
      <c r="U823" s="16"/>
      <c r="W823" s="16"/>
      <c r="X823" s="13"/>
      <c r="Y823" s="13"/>
    </row>
    <row r="824" ht="31.5" customHeight="1">
      <c r="D824" s="6" t="str">
        <f t="shared" si="1"/>
        <v/>
      </c>
      <c r="H824" s="7"/>
      <c r="K824" s="7">
        <f t="shared" si="2"/>
        <v>0</v>
      </c>
      <c r="N824" s="7">
        <f t="shared" si="3"/>
        <v>0</v>
      </c>
      <c r="O824" s="7">
        <f t="shared" si="4"/>
        <v>0</v>
      </c>
      <c r="P824" s="7">
        <f t="shared" si="5"/>
        <v>0</v>
      </c>
      <c r="R824" s="15"/>
      <c r="S824" s="15"/>
      <c r="U824" s="16"/>
      <c r="W824" s="16"/>
      <c r="X824" s="13"/>
      <c r="Y824" s="13"/>
    </row>
    <row r="825" ht="31.5" customHeight="1">
      <c r="D825" s="6" t="str">
        <f t="shared" si="1"/>
        <v/>
      </c>
      <c r="H825" s="7"/>
      <c r="K825" s="7">
        <f t="shared" si="2"/>
        <v>0</v>
      </c>
      <c r="N825" s="7">
        <f t="shared" si="3"/>
        <v>0</v>
      </c>
      <c r="O825" s="7">
        <f t="shared" si="4"/>
        <v>0</v>
      </c>
      <c r="P825" s="7">
        <f t="shared" si="5"/>
        <v>0</v>
      </c>
      <c r="R825" s="15"/>
      <c r="S825" s="15"/>
      <c r="U825" s="16"/>
      <c r="W825" s="16"/>
      <c r="X825" s="13"/>
      <c r="Y825" s="13"/>
    </row>
    <row r="826" ht="31.5" customHeight="1">
      <c r="D826" s="6" t="str">
        <f t="shared" si="1"/>
        <v/>
      </c>
      <c r="H826" s="7"/>
      <c r="K826" s="7">
        <f t="shared" si="2"/>
        <v>0</v>
      </c>
      <c r="N826" s="7">
        <f t="shared" si="3"/>
        <v>0</v>
      </c>
      <c r="O826" s="7">
        <f t="shared" si="4"/>
        <v>0</v>
      </c>
      <c r="P826" s="7">
        <f t="shared" si="5"/>
        <v>0</v>
      </c>
      <c r="R826" s="15"/>
      <c r="S826" s="15"/>
      <c r="U826" s="16"/>
      <c r="W826" s="16"/>
      <c r="X826" s="13"/>
      <c r="Y826" s="13"/>
    </row>
    <row r="827" ht="31.5" customHeight="1">
      <c r="D827" s="6" t="str">
        <f t="shared" si="1"/>
        <v/>
      </c>
      <c r="H827" s="7"/>
      <c r="K827" s="7">
        <f t="shared" si="2"/>
        <v>0</v>
      </c>
      <c r="N827" s="7">
        <f t="shared" si="3"/>
        <v>0</v>
      </c>
      <c r="O827" s="7">
        <f t="shared" si="4"/>
        <v>0</v>
      </c>
      <c r="P827" s="7">
        <f t="shared" si="5"/>
        <v>0</v>
      </c>
      <c r="R827" s="15"/>
      <c r="S827" s="15"/>
      <c r="U827" s="16"/>
      <c r="W827" s="16"/>
      <c r="X827" s="13"/>
      <c r="Y827" s="13"/>
    </row>
    <row r="828" ht="31.5" customHeight="1">
      <c r="D828" s="6" t="str">
        <f t="shared" si="1"/>
        <v/>
      </c>
      <c r="H828" s="7"/>
      <c r="K828" s="7">
        <f t="shared" si="2"/>
        <v>0</v>
      </c>
      <c r="N828" s="7">
        <f t="shared" si="3"/>
        <v>0</v>
      </c>
      <c r="O828" s="7">
        <f t="shared" si="4"/>
        <v>0</v>
      </c>
      <c r="P828" s="7">
        <f t="shared" si="5"/>
        <v>0</v>
      </c>
      <c r="R828" s="15"/>
      <c r="S828" s="15"/>
      <c r="U828" s="16"/>
      <c r="W828" s="16"/>
      <c r="X828" s="13"/>
      <c r="Y828" s="13"/>
    </row>
    <row r="829" ht="31.5" customHeight="1">
      <c r="D829" s="6" t="str">
        <f t="shared" si="1"/>
        <v/>
      </c>
      <c r="H829" s="7"/>
      <c r="K829" s="7">
        <f t="shared" si="2"/>
        <v>0</v>
      </c>
      <c r="N829" s="7">
        <f t="shared" si="3"/>
        <v>0</v>
      </c>
      <c r="O829" s="7">
        <f t="shared" si="4"/>
        <v>0</v>
      </c>
      <c r="P829" s="7">
        <f t="shared" si="5"/>
        <v>0</v>
      </c>
      <c r="R829" s="15"/>
      <c r="S829" s="15"/>
      <c r="U829" s="16"/>
      <c r="W829" s="16"/>
      <c r="X829" s="13"/>
      <c r="Y829" s="13"/>
    </row>
    <row r="830" ht="31.5" customHeight="1">
      <c r="D830" s="6" t="str">
        <f t="shared" si="1"/>
        <v/>
      </c>
      <c r="H830" s="7"/>
      <c r="K830" s="7">
        <f t="shared" si="2"/>
        <v>0</v>
      </c>
      <c r="N830" s="7">
        <f t="shared" si="3"/>
        <v>0</v>
      </c>
      <c r="O830" s="7">
        <f t="shared" si="4"/>
        <v>0</v>
      </c>
      <c r="P830" s="7">
        <f t="shared" si="5"/>
        <v>0</v>
      </c>
      <c r="R830" s="15"/>
      <c r="S830" s="15"/>
      <c r="U830" s="16"/>
      <c r="W830" s="16"/>
      <c r="X830" s="13"/>
      <c r="Y830" s="13"/>
    </row>
    <row r="831" ht="31.5" customHeight="1">
      <c r="D831" s="6" t="str">
        <f t="shared" si="1"/>
        <v/>
      </c>
      <c r="H831" s="7"/>
      <c r="K831" s="7">
        <f t="shared" si="2"/>
        <v>0</v>
      </c>
      <c r="N831" s="7">
        <f t="shared" si="3"/>
        <v>0</v>
      </c>
      <c r="O831" s="7">
        <f t="shared" si="4"/>
        <v>0</v>
      </c>
      <c r="P831" s="7">
        <f t="shared" si="5"/>
        <v>0</v>
      </c>
      <c r="R831" s="15"/>
      <c r="S831" s="15"/>
      <c r="U831" s="16"/>
      <c r="W831" s="16"/>
      <c r="X831" s="13"/>
      <c r="Y831" s="13"/>
    </row>
    <row r="832" ht="31.5" customHeight="1">
      <c r="D832" s="6" t="str">
        <f t="shared" si="1"/>
        <v/>
      </c>
      <c r="H832" s="7"/>
      <c r="K832" s="7">
        <f t="shared" si="2"/>
        <v>0</v>
      </c>
      <c r="N832" s="7">
        <f t="shared" si="3"/>
        <v>0</v>
      </c>
      <c r="O832" s="7">
        <f t="shared" si="4"/>
        <v>0</v>
      </c>
      <c r="P832" s="7">
        <f t="shared" si="5"/>
        <v>0</v>
      </c>
      <c r="R832" s="15"/>
      <c r="S832" s="15"/>
      <c r="U832" s="16"/>
      <c r="W832" s="16"/>
      <c r="X832" s="13"/>
      <c r="Y832" s="13"/>
    </row>
    <row r="833" ht="31.5" customHeight="1">
      <c r="D833" s="6" t="str">
        <f t="shared" si="1"/>
        <v/>
      </c>
      <c r="H833" s="7"/>
      <c r="K833" s="7">
        <f t="shared" si="2"/>
        <v>0</v>
      </c>
      <c r="N833" s="7">
        <f t="shared" si="3"/>
        <v>0</v>
      </c>
      <c r="O833" s="7">
        <f t="shared" si="4"/>
        <v>0</v>
      </c>
      <c r="P833" s="7">
        <f t="shared" si="5"/>
        <v>0</v>
      </c>
      <c r="R833" s="15"/>
      <c r="S833" s="15"/>
      <c r="U833" s="16"/>
      <c r="W833" s="16"/>
      <c r="X833" s="13"/>
      <c r="Y833" s="13"/>
    </row>
    <row r="834" ht="31.5" customHeight="1">
      <c r="D834" s="6" t="str">
        <f t="shared" si="1"/>
        <v/>
      </c>
      <c r="H834" s="7"/>
      <c r="K834" s="7">
        <f t="shared" si="2"/>
        <v>0</v>
      </c>
      <c r="N834" s="7">
        <f t="shared" si="3"/>
        <v>0</v>
      </c>
      <c r="O834" s="7">
        <f t="shared" si="4"/>
        <v>0</v>
      </c>
      <c r="P834" s="7">
        <f t="shared" si="5"/>
        <v>0</v>
      </c>
      <c r="R834" s="15"/>
      <c r="S834" s="15"/>
      <c r="U834" s="16"/>
      <c r="W834" s="16"/>
      <c r="X834" s="13"/>
      <c r="Y834" s="13"/>
    </row>
    <row r="835" ht="31.5" customHeight="1">
      <c r="D835" s="6" t="str">
        <f t="shared" si="1"/>
        <v/>
      </c>
      <c r="H835" s="7"/>
      <c r="K835" s="7">
        <f t="shared" si="2"/>
        <v>0</v>
      </c>
      <c r="N835" s="7">
        <f t="shared" si="3"/>
        <v>0</v>
      </c>
      <c r="O835" s="7">
        <f t="shared" si="4"/>
        <v>0</v>
      </c>
      <c r="P835" s="7">
        <f t="shared" si="5"/>
        <v>0</v>
      </c>
      <c r="R835" s="15"/>
      <c r="S835" s="15"/>
      <c r="U835" s="16"/>
      <c r="W835" s="16"/>
      <c r="X835" s="13"/>
      <c r="Y835" s="13"/>
    </row>
    <row r="836" ht="31.5" customHeight="1">
      <c r="D836" s="6" t="str">
        <f t="shared" si="1"/>
        <v/>
      </c>
      <c r="H836" s="7"/>
      <c r="K836" s="7">
        <f t="shared" si="2"/>
        <v>0</v>
      </c>
      <c r="N836" s="7">
        <f t="shared" si="3"/>
        <v>0</v>
      </c>
      <c r="O836" s="7">
        <f t="shared" si="4"/>
        <v>0</v>
      </c>
      <c r="P836" s="7">
        <f t="shared" si="5"/>
        <v>0</v>
      </c>
      <c r="R836" s="15"/>
      <c r="S836" s="15"/>
      <c r="U836" s="16"/>
      <c r="W836" s="16"/>
      <c r="X836" s="13"/>
      <c r="Y836" s="13"/>
    </row>
    <row r="837" ht="31.5" customHeight="1">
      <c r="D837" s="6" t="str">
        <f t="shared" si="1"/>
        <v/>
      </c>
      <c r="H837" s="7"/>
      <c r="K837" s="7">
        <f t="shared" si="2"/>
        <v>0</v>
      </c>
      <c r="N837" s="7">
        <f t="shared" si="3"/>
        <v>0</v>
      </c>
      <c r="O837" s="7">
        <f t="shared" si="4"/>
        <v>0</v>
      </c>
      <c r="P837" s="7">
        <f t="shared" si="5"/>
        <v>0</v>
      </c>
      <c r="R837" s="15"/>
      <c r="S837" s="15"/>
      <c r="U837" s="16"/>
      <c r="W837" s="16"/>
      <c r="X837" s="13"/>
      <c r="Y837" s="13"/>
    </row>
    <row r="838" ht="31.5" customHeight="1">
      <c r="D838" s="6" t="str">
        <f t="shared" si="1"/>
        <v/>
      </c>
      <c r="H838" s="7"/>
      <c r="K838" s="7">
        <f t="shared" si="2"/>
        <v>0</v>
      </c>
      <c r="N838" s="7">
        <f t="shared" si="3"/>
        <v>0</v>
      </c>
      <c r="O838" s="7">
        <f t="shared" si="4"/>
        <v>0</v>
      </c>
      <c r="P838" s="7">
        <f t="shared" si="5"/>
        <v>0</v>
      </c>
      <c r="R838" s="15"/>
      <c r="S838" s="15"/>
      <c r="U838" s="16"/>
      <c r="W838" s="16"/>
      <c r="X838" s="13"/>
      <c r="Y838" s="13"/>
    </row>
    <row r="839" ht="31.5" customHeight="1">
      <c r="D839" s="6" t="str">
        <f t="shared" si="1"/>
        <v/>
      </c>
      <c r="H839" s="7"/>
      <c r="K839" s="7">
        <f t="shared" si="2"/>
        <v>0</v>
      </c>
      <c r="N839" s="7">
        <f t="shared" si="3"/>
        <v>0</v>
      </c>
      <c r="O839" s="7">
        <f t="shared" si="4"/>
        <v>0</v>
      </c>
      <c r="P839" s="7">
        <f t="shared" si="5"/>
        <v>0</v>
      </c>
      <c r="R839" s="15"/>
      <c r="S839" s="15"/>
      <c r="U839" s="16"/>
      <c r="W839" s="16"/>
      <c r="X839" s="13"/>
      <c r="Y839" s="13"/>
    </row>
    <row r="840" ht="31.5" customHeight="1">
      <c r="D840" s="6" t="str">
        <f t="shared" si="1"/>
        <v/>
      </c>
      <c r="H840" s="7"/>
      <c r="K840" s="7">
        <f t="shared" si="2"/>
        <v>0</v>
      </c>
      <c r="N840" s="7">
        <f t="shared" si="3"/>
        <v>0</v>
      </c>
      <c r="O840" s="7">
        <f t="shared" si="4"/>
        <v>0</v>
      </c>
      <c r="P840" s="7">
        <f t="shared" si="5"/>
        <v>0</v>
      </c>
      <c r="R840" s="15"/>
      <c r="S840" s="15"/>
      <c r="U840" s="16"/>
      <c r="W840" s="16"/>
      <c r="X840" s="13"/>
      <c r="Y840" s="13"/>
    </row>
    <row r="841" ht="31.5" customHeight="1">
      <c r="D841" s="6" t="str">
        <f t="shared" si="1"/>
        <v/>
      </c>
      <c r="H841" s="7"/>
      <c r="K841" s="7">
        <f t="shared" si="2"/>
        <v>0</v>
      </c>
      <c r="N841" s="7">
        <f t="shared" si="3"/>
        <v>0</v>
      </c>
      <c r="O841" s="7">
        <f t="shared" si="4"/>
        <v>0</v>
      </c>
      <c r="P841" s="7">
        <f t="shared" si="5"/>
        <v>0</v>
      </c>
      <c r="R841" s="15"/>
      <c r="S841" s="15"/>
      <c r="U841" s="16"/>
      <c r="W841" s="16"/>
      <c r="X841" s="13"/>
      <c r="Y841" s="13"/>
    </row>
    <row r="842" ht="31.5" customHeight="1">
      <c r="D842" s="6" t="str">
        <f t="shared" si="1"/>
        <v/>
      </c>
      <c r="H842" s="7"/>
      <c r="K842" s="7">
        <f t="shared" si="2"/>
        <v>0</v>
      </c>
      <c r="N842" s="7">
        <f t="shared" si="3"/>
        <v>0</v>
      </c>
      <c r="O842" s="7">
        <f t="shared" si="4"/>
        <v>0</v>
      </c>
      <c r="P842" s="7">
        <f t="shared" si="5"/>
        <v>0</v>
      </c>
      <c r="R842" s="15"/>
      <c r="S842" s="15"/>
      <c r="U842" s="16"/>
      <c r="W842" s="16"/>
      <c r="X842" s="13"/>
      <c r="Y842" s="13"/>
    </row>
    <row r="843" ht="31.5" customHeight="1">
      <c r="D843" s="6" t="str">
        <f t="shared" si="1"/>
        <v/>
      </c>
      <c r="H843" s="7"/>
      <c r="K843" s="7">
        <f t="shared" si="2"/>
        <v>0</v>
      </c>
      <c r="N843" s="7">
        <f t="shared" si="3"/>
        <v>0</v>
      </c>
      <c r="O843" s="7">
        <f t="shared" si="4"/>
        <v>0</v>
      </c>
      <c r="P843" s="7">
        <f t="shared" si="5"/>
        <v>0</v>
      </c>
      <c r="R843" s="15"/>
      <c r="S843" s="15"/>
      <c r="U843" s="16"/>
      <c r="W843" s="16"/>
      <c r="X843" s="13"/>
      <c r="Y843" s="13"/>
    </row>
    <row r="844" ht="31.5" customHeight="1">
      <c r="D844" s="6" t="str">
        <f t="shared" si="1"/>
        <v/>
      </c>
      <c r="H844" s="7"/>
      <c r="K844" s="7">
        <f t="shared" si="2"/>
        <v>0</v>
      </c>
      <c r="N844" s="7">
        <f t="shared" si="3"/>
        <v>0</v>
      </c>
      <c r="O844" s="7">
        <f t="shared" si="4"/>
        <v>0</v>
      </c>
      <c r="P844" s="7">
        <f t="shared" si="5"/>
        <v>0</v>
      </c>
      <c r="R844" s="15"/>
      <c r="S844" s="15"/>
      <c r="U844" s="16"/>
      <c r="W844" s="16"/>
      <c r="X844" s="13"/>
      <c r="Y844" s="13"/>
    </row>
    <row r="845" ht="31.5" customHeight="1">
      <c r="D845" s="6" t="str">
        <f t="shared" si="1"/>
        <v/>
      </c>
      <c r="H845" s="7"/>
      <c r="K845" s="7">
        <f t="shared" si="2"/>
        <v>0</v>
      </c>
      <c r="N845" s="7">
        <f t="shared" si="3"/>
        <v>0</v>
      </c>
      <c r="O845" s="7">
        <f t="shared" si="4"/>
        <v>0</v>
      </c>
      <c r="P845" s="7">
        <f t="shared" si="5"/>
        <v>0</v>
      </c>
      <c r="R845" s="15"/>
      <c r="S845" s="15"/>
      <c r="U845" s="16"/>
      <c r="W845" s="16"/>
      <c r="X845" s="13"/>
      <c r="Y845" s="13"/>
    </row>
    <row r="846" ht="31.5" customHeight="1">
      <c r="D846" s="6" t="str">
        <f t="shared" si="1"/>
        <v/>
      </c>
      <c r="H846" s="7"/>
      <c r="K846" s="7">
        <f t="shared" si="2"/>
        <v>0</v>
      </c>
      <c r="N846" s="7">
        <f t="shared" si="3"/>
        <v>0</v>
      </c>
      <c r="O846" s="7">
        <f t="shared" si="4"/>
        <v>0</v>
      </c>
      <c r="P846" s="7">
        <f t="shared" si="5"/>
        <v>0</v>
      </c>
      <c r="R846" s="15"/>
      <c r="S846" s="15"/>
      <c r="U846" s="16"/>
      <c r="W846" s="16"/>
      <c r="X846" s="13"/>
      <c r="Y846" s="13"/>
    </row>
    <row r="847" ht="31.5" customHeight="1">
      <c r="D847" s="6" t="str">
        <f t="shared" si="1"/>
        <v/>
      </c>
      <c r="H847" s="7"/>
      <c r="K847" s="7">
        <f t="shared" si="2"/>
        <v>0</v>
      </c>
      <c r="N847" s="7">
        <f t="shared" si="3"/>
        <v>0</v>
      </c>
      <c r="O847" s="7">
        <f t="shared" si="4"/>
        <v>0</v>
      </c>
      <c r="P847" s="7">
        <f t="shared" si="5"/>
        <v>0</v>
      </c>
      <c r="R847" s="15"/>
      <c r="S847" s="15"/>
      <c r="U847" s="16"/>
      <c r="W847" s="16"/>
      <c r="X847" s="13"/>
      <c r="Y847" s="13"/>
    </row>
    <row r="848" ht="31.5" customHeight="1">
      <c r="D848" s="6" t="str">
        <f t="shared" si="1"/>
        <v/>
      </c>
      <c r="H848" s="7"/>
      <c r="K848" s="7">
        <f t="shared" si="2"/>
        <v>0</v>
      </c>
      <c r="N848" s="7">
        <f t="shared" si="3"/>
        <v>0</v>
      </c>
      <c r="O848" s="7">
        <f t="shared" si="4"/>
        <v>0</v>
      </c>
      <c r="P848" s="7">
        <f t="shared" si="5"/>
        <v>0</v>
      </c>
      <c r="R848" s="15"/>
      <c r="S848" s="15"/>
      <c r="U848" s="16"/>
      <c r="W848" s="16"/>
      <c r="X848" s="13"/>
      <c r="Y848" s="13"/>
    </row>
    <row r="849" ht="31.5" customHeight="1">
      <c r="D849" s="6" t="str">
        <f t="shared" si="1"/>
        <v/>
      </c>
      <c r="H849" s="7"/>
      <c r="K849" s="7">
        <f t="shared" si="2"/>
        <v>0</v>
      </c>
      <c r="N849" s="7">
        <f t="shared" si="3"/>
        <v>0</v>
      </c>
      <c r="O849" s="7">
        <f t="shared" si="4"/>
        <v>0</v>
      </c>
      <c r="P849" s="7">
        <f t="shared" si="5"/>
        <v>0</v>
      </c>
      <c r="R849" s="15"/>
      <c r="S849" s="15"/>
      <c r="U849" s="16"/>
      <c r="W849" s="16"/>
      <c r="X849" s="13"/>
      <c r="Y849" s="13"/>
    </row>
    <row r="850" ht="31.5" customHeight="1">
      <c r="D850" s="6" t="str">
        <f t="shared" si="1"/>
        <v/>
      </c>
      <c r="H850" s="7"/>
      <c r="K850" s="7">
        <f t="shared" si="2"/>
        <v>0</v>
      </c>
      <c r="N850" s="7">
        <f t="shared" si="3"/>
        <v>0</v>
      </c>
      <c r="O850" s="7">
        <f t="shared" si="4"/>
        <v>0</v>
      </c>
      <c r="P850" s="7">
        <f t="shared" si="5"/>
        <v>0</v>
      </c>
      <c r="R850" s="15"/>
      <c r="S850" s="15"/>
      <c r="U850" s="16"/>
      <c r="W850" s="16"/>
      <c r="X850" s="13"/>
      <c r="Y850" s="13"/>
    </row>
    <row r="851" ht="31.5" customHeight="1">
      <c r="D851" s="6" t="str">
        <f t="shared" si="1"/>
        <v/>
      </c>
      <c r="H851" s="7"/>
      <c r="K851" s="7">
        <f t="shared" si="2"/>
        <v>0</v>
      </c>
      <c r="N851" s="7">
        <f t="shared" si="3"/>
        <v>0</v>
      </c>
      <c r="O851" s="7">
        <f t="shared" si="4"/>
        <v>0</v>
      </c>
      <c r="P851" s="7">
        <f t="shared" si="5"/>
        <v>0</v>
      </c>
      <c r="R851" s="15"/>
      <c r="S851" s="15"/>
      <c r="U851" s="16"/>
      <c r="W851" s="16"/>
      <c r="X851" s="13"/>
      <c r="Y851" s="13"/>
    </row>
    <row r="852" ht="31.5" customHeight="1">
      <c r="D852" s="6" t="str">
        <f t="shared" si="1"/>
        <v/>
      </c>
      <c r="H852" s="7"/>
      <c r="K852" s="7">
        <f t="shared" si="2"/>
        <v>0</v>
      </c>
      <c r="N852" s="7">
        <f t="shared" si="3"/>
        <v>0</v>
      </c>
      <c r="O852" s="7">
        <f t="shared" si="4"/>
        <v>0</v>
      </c>
      <c r="P852" s="7">
        <f t="shared" si="5"/>
        <v>0</v>
      </c>
      <c r="R852" s="15"/>
      <c r="S852" s="15"/>
      <c r="U852" s="16"/>
      <c r="W852" s="16"/>
      <c r="X852" s="13"/>
      <c r="Y852" s="13"/>
    </row>
    <row r="853" ht="31.5" customHeight="1">
      <c r="D853" s="6" t="str">
        <f t="shared" si="1"/>
        <v/>
      </c>
      <c r="H853" s="7"/>
      <c r="K853" s="7">
        <f t="shared" si="2"/>
        <v>0</v>
      </c>
      <c r="N853" s="7">
        <f t="shared" si="3"/>
        <v>0</v>
      </c>
      <c r="O853" s="7">
        <f t="shared" si="4"/>
        <v>0</v>
      </c>
      <c r="P853" s="7">
        <f t="shared" si="5"/>
        <v>0</v>
      </c>
      <c r="R853" s="15"/>
      <c r="S853" s="15"/>
      <c r="U853" s="16"/>
      <c r="W853" s="16"/>
      <c r="X853" s="13"/>
      <c r="Y853" s="13"/>
    </row>
    <row r="854" ht="31.5" customHeight="1">
      <c r="D854" s="6" t="str">
        <f t="shared" si="1"/>
        <v/>
      </c>
      <c r="H854" s="7"/>
      <c r="K854" s="7">
        <f t="shared" si="2"/>
        <v>0</v>
      </c>
      <c r="N854" s="7">
        <f t="shared" si="3"/>
        <v>0</v>
      </c>
      <c r="O854" s="7">
        <f t="shared" si="4"/>
        <v>0</v>
      </c>
      <c r="P854" s="7">
        <f t="shared" si="5"/>
        <v>0</v>
      </c>
      <c r="R854" s="15"/>
      <c r="S854" s="15"/>
      <c r="U854" s="16"/>
      <c r="W854" s="16"/>
      <c r="X854" s="13"/>
      <c r="Y854" s="13"/>
    </row>
    <row r="855" ht="31.5" customHeight="1">
      <c r="D855" s="6" t="str">
        <f t="shared" si="1"/>
        <v/>
      </c>
      <c r="H855" s="7"/>
      <c r="K855" s="7">
        <f t="shared" si="2"/>
        <v>0</v>
      </c>
      <c r="N855" s="7">
        <f t="shared" si="3"/>
        <v>0</v>
      </c>
      <c r="O855" s="7">
        <f t="shared" si="4"/>
        <v>0</v>
      </c>
      <c r="P855" s="7">
        <f t="shared" si="5"/>
        <v>0</v>
      </c>
      <c r="R855" s="15"/>
      <c r="S855" s="15"/>
      <c r="U855" s="16"/>
      <c r="W855" s="16"/>
      <c r="X855" s="13"/>
      <c r="Y855" s="13"/>
    </row>
    <row r="856" ht="31.5" customHeight="1">
      <c r="D856" s="6" t="str">
        <f t="shared" si="1"/>
        <v/>
      </c>
      <c r="H856" s="7"/>
      <c r="K856" s="7">
        <f t="shared" si="2"/>
        <v>0</v>
      </c>
      <c r="N856" s="7">
        <f t="shared" si="3"/>
        <v>0</v>
      </c>
      <c r="O856" s="7">
        <f t="shared" si="4"/>
        <v>0</v>
      </c>
      <c r="P856" s="7">
        <f t="shared" si="5"/>
        <v>0</v>
      </c>
      <c r="R856" s="15"/>
      <c r="S856" s="15"/>
      <c r="U856" s="16"/>
      <c r="W856" s="16"/>
      <c r="X856" s="13"/>
      <c r="Y856" s="13"/>
    </row>
    <row r="857" ht="31.5" customHeight="1">
      <c r="D857" s="6" t="str">
        <f t="shared" si="1"/>
        <v/>
      </c>
      <c r="H857" s="7"/>
      <c r="K857" s="7">
        <f t="shared" si="2"/>
        <v>0</v>
      </c>
      <c r="N857" s="7">
        <f t="shared" si="3"/>
        <v>0</v>
      </c>
      <c r="O857" s="7">
        <f t="shared" si="4"/>
        <v>0</v>
      </c>
      <c r="P857" s="7">
        <f t="shared" si="5"/>
        <v>0</v>
      </c>
      <c r="R857" s="15"/>
      <c r="S857" s="15"/>
      <c r="U857" s="16"/>
      <c r="W857" s="16"/>
      <c r="X857" s="13"/>
      <c r="Y857" s="13"/>
    </row>
    <row r="858" ht="31.5" customHeight="1">
      <c r="D858" s="6" t="str">
        <f t="shared" si="1"/>
        <v/>
      </c>
      <c r="H858" s="7"/>
      <c r="K858" s="7">
        <f t="shared" si="2"/>
        <v>0</v>
      </c>
      <c r="N858" s="7">
        <f t="shared" si="3"/>
        <v>0</v>
      </c>
      <c r="O858" s="7">
        <f t="shared" si="4"/>
        <v>0</v>
      </c>
      <c r="P858" s="7">
        <f t="shared" si="5"/>
        <v>0</v>
      </c>
      <c r="R858" s="15"/>
      <c r="S858" s="15"/>
      <c r="U858" s="16"/>
      <c r="W858" s="16"/>
      <c r="X858" s="13"/>
      <c r="Y858" s="13"/>
    </row>
    <row r="859" ht="31.5" customHeight="1">
      <c r="D859" s="6" t="str">
        <f t="shared" si="1"/>
        <v/>
      </c>
      <c r="H859" s="7"/>
      <c r="K859" s="7">
        <f t="shared" si="2"/>
        <v>0</v>
      </c>
      <c r="N859" s="7">
        <f t="shared" si="3"/>
        <v>0</v>
      </c>
      <c r="O859" s="7">
        <f t="shared" si="4"/>
        <v>0</v>
      </c>
      <c r="P859" s="7">
        <f t="shared" si="5"/>
        <v>0</v>
      </c>
      <c r="R859" s="15"/>
      <c r="S859" s="15"/>
      <c r="U859" s="16"/>
      <c r="W859" s="16"/>
      <c r="X859" s="13"/>
      <c r="Y859" s="13"/>
    </row>
    <row r="860" ht="31.5" customHeight="1">
      <c r="D860" s="6" t="str">
        <f t="shared" si="1"/>
        <v/>
      </c>
      <c r="H860" s="7"/>
      <c r="K860" s="7">
        <f t="shared" si="2"/>
        <v>0</v>
      </c>
      <c r="N860" s="7">
        <f t="shared" si="3"/>
        <v>0</v>
      </c>
      <c r="O860" s="7">
        <f t="shared" si="4"/>
        <v>0</v>
      </c>
      <c r="P860" s="7">
        <f t="shared" si="5"/>
        <v>0</v>
      </c>
      <c r="R860" s="15"/>
      <c r="S860" s="15"/>
      <c r="U860" s="16"/>
      <c r="W860" s="16"/>
      <c r="X860" s="13"/>
      <c r="Y860" s="13"/>
    </row>
    <row r="861" ht="31.5" customHeight="1">
      <c r="D861" s="6" t="str">
        <f t="shared" si="1"/>
        <v/>
      </c>
      <c r="H861" s="7"/>
      <c r="K861" s="7">
        <f t="shared" si="2"/>
        <v>0</v>
      </c>
      <c r="N861" s="7">
        <f t="shared" si="3"/>
        <v>0</v>
      </c>
      <c r="O861" s="7">
        <f t="shared" si="4"/>
        <v>0</v>
      </c>
      <c r="P861" s="7">
        <f t="shared" si="5"/>
        <v>0</v>
      </c>
      <c r="R861" s="15"/>
      <c r="S861" s="15"/>
      <c r="U861" s="16"/>
      <c r="W861" s="16"/>
      <c r="X861" s="13"/>
      <c r="Y861" s="13"/>
    </row>
    <row r="862" ht="31.5" customHeight="1">
      <c r="D862" s="6" t="str">
        <f t="shared" si="1"/>
        <v/>
      </c>
      <c r="H862" s="7"/>
      <c r="K862" s="7">
        <f t="shared" si="2"/>
        <v>0</v>
      </c>
      <c r="N862" s="7">
        <f t="shared" si="3"/>
        <v>0</v>
      </c>
      <c r="O862" s="7">
        <f t="shared" si="4"/>
        <v>0</v>
      </c>
      <c r="P862" s="7">
        <f t="shared" si="5"/>
        <v>0</v>
      </c>
      <c r="R862" s="15"/>
      <c r="S862" s="15"/>
      <c r="U862" s="16"/>
      <c r="W862" s="16"/>
      <c r="X862" s="13"/>
      <c r="Y862" s="13"/>
    </row>
    <row r="863" ht="31.5" customHeight="1">
      <c r="D863" s="6" t="str">
        <f t="shared" si="1"/>
        <v/>
      </c>
      <c r="H863" s="7"/>
      <c r="K863" s="7">
        <f t="shared" si="2"/>
        <v>0</v>
      </c>
      <c r="N863" s="7">
        <f t="shared" si="3"/>
        <v>0</v>
      </c>
      <c r="O863" s="7">
        <f t="shared" si="4"/>
        <v>0</v>
      </c>
      <c r="P863" s="7">
        <f t="shared" si="5"/>
        <v>0</v>
      </c>
      <c r="R863" s="15"/>
      <c r="S863" s="15"/>
      <c r="U863" s="16"/>
      <c r="W863" s="16"/>
      <c r="X863" s="13"/>
      <c r="Y863" s="13"/>
    </row>
    <row r="864" ht="31.5" customHeight="1">
      <c r="D864" s="6" t="str">
        <f t="shared" si="1"/>
        <v/>
      </c>
      <c r="H864" s="7"/>
      <c r="K864" s="7">
        <f t="shared" si="2"/>
        <v>0</v>
      </c>
      <c r="N864" s="7">
        <f t="shared" si="3"/>
        <v>0</v>
      </c>
      <c r="O864" s="7">
        <f t="shared" si="4"/>
        <v>0</v>
      </c>
      <c r="P864" s="7">
        <f t="shared" si="5"/>
        <v>0</v>
      </c>
      <c r="R864" s="15"/>
      <c r="S864" s="15"/>
      <c r="U864" s="16"/>
      <c r="W864" s="16"/>
      <c r="X864" s="13"/>
      <c r="Y864" s="13"/>
    </row>
    <row r="865" ht="31.5" customHeight="1">
      <c r="D865" s="6" t="str">
        <f t="shared" si="1"/>
        <v/>
      </c>
      <c r="H865" s="7"/>
      <c r="K865" s="7">
        <f t="shared" si="2"/>
        <v>0</v>
      </c>
      <c r="N865" s="7">
        <f t="shared" si="3"/>
        <v>0</v>
      </c>
      <c r="O865" s="7">
        <f t="shared" si="4"/>
        <v>0</v>
      </c>
      <c r="P865" s="7">
        <f t="shared" si="5"/>
        <v>0</v>
      </c>
      <c r="R865" s="15"/>
      <c r="S865" s="15"/>
      <c r="U865" s="16"/>
      <c r="W865" s="16"/>
      <c r="X865" s="13"/>
      <c r="Y865" s="13"/>
    </row>
    <row r="866" ht="31.5" customHeight="1">
      <c r="D866" s="6" t="str">
        <f t="shared" si="1"/>
        <v/>
      </c>
      <c r="H866" s="7"/>
      <c r="K866" s="7">
        <f t="shared" si="2"/>
        <v>0</v>
      </c>
      <c r="N866" s="7">
        <f t="shared" si="3"/>
        <v>0</v>
      </c>
      <c r="O866" s="7">
        <f t="shared" si="4"/>
        <v>0</v>
      </c>
      <c r="P866" s="7">
        <f t="shared" si="5"/>
        <v>0</v>
      </c>
      <c r="R866" s="15"/>
      <c r="S866" s="15"/>
      <c r="U866" s="16"/>
      <c r="W866" s="16"/>
      <c r="X866" s="13"/>
      <c r="Y866" s="13"/>
    </row>
    <row r="867" ht="31.5" customHeight="1">
      <c r="D867" s="6" t="str">
        <f t="shared" si="1"/>
        <v/>
      </c>
      <c r="H867" s="7"/>
      <c r="K867" s="7">
        <f t="shared" si="2"/>
        <v>0</v>
      </c>
      <c r="N867" s="7">
        <f t="shared" si="3"/>
        <v>0</v>
      </c>
      <c r="O867" s="7">
        <f t="shared" si="4"/>
        <v>0</v>
      </c>
      <c r="P867" s="7">
        <f t="shared" si="5"/>
        <v>0</v>
      </c>
      <c r="R867" s="15"/>
      <c r="S867" s="15"/>
      <c r="U867" s="16"/>
      <c r="W867" s="16"/>
      <c r="X867" s="13"/>
      <c r="Y867" s="13"/>
    </row>
    <row r="868" ht="31.5" customHeight="1">
      <c r="D868" s="6" t="str">
        <f t="shared" si="1"/>
        <v/>
      </c>
      <c r="H868" s="7"/>
      <c r="K868" s="7">
        <f t="shared" si="2"/>
        <v>0</v>
      </c>
      <c r="N868" s="7">
        <f t="shared" si="3"/>
        <v>0</v>
      </c>
      <c r="O868" s="7">
        <f t="shared" si="4"/>
        <v>0</v>
      </c>
      <c r="P868" s="7">
        <f t="shared" si="5"/>
        <v>0</v>
      </c>
      <c r="R868" s="15"/>
      <c r="S868" s="15"/>
      <c r="U868" s="16"/>
      <c r="W868" s="16"/>
      <c r="X868" s="13"/>
      <c r="Y868" s="13"/>
    </row>
    <row r="869" ht="31.5" customHeight="1">
      <c r="D869" s="6" t="str">
        <f t="shared" si="1"/>
        <v/>
      </c>
      <c r="H869" s="7"/>
      <c r="K869" s="7">
        <f t="shared" si="2"/>
        <v>0</v>
      </c>
      <c r="N869" s="7">
        <f t="shared" si="3"/>
        <v>0</v>
      </c>
      <c r="O869" s="7">
        <f t="shared" si="4"/>
        <v>0</v>
      </c>
      <c r="P869" s="7">
        <f t="shared" si="5"/>
        <v>0</v>
      </c>
      <c r="R869" s="15"/>
      <c r="S869" s="15"/>
      <c r="U869" s="16"/>
      <c r="W869" s="16"/>
      <c r="X869" s="13"/>
      <c r="Y869" s="13"/>
    </row>
    <row r="870" ht="31.5" customHeight="1">
      <c r="D870" s="6" t="str">
        <f t="shared" si="1"/>
        <v/>
      </c>
      <c r="H870" s="7"/>
      <c r="K870" s="7">
        <f t="shared" si="2"/>
        <v>0</v>
      </c>
      <c r="N870" s="7">
        <f t="shared" si="3"/>
        <v>0</v>
      </c>
      <c r="O870" s="7">
        <f t="shared" si="4"/>
        <v>0</v>
      </c>
      <c r="P870" s="7">
        <f t="shared" si="5"/>
        <v>0</v>
      </c>
      <c r="R870" s="15"/>
      <c r="S870" s="15"/>
      <c r="U870" s="16"/>
      <c r="W870" s="16"/>
      <c r="X870" s="13"/>
      <c r="Y870" s="13"/>
    </row>
    <row r="871" ht="31.5" customHeight="1">
      <c r="D871" s="6" t="str">
        <f t="shared" si="1"/>
        <v/>
      </c>
      <c r="H871" s="7"/>
      <c r="K871" s="7">
        <f t="shared" si="2"/>
        <v>0</v>
      </c>
      <c r="N871" s="7">
        <f t="shared" si="3"/>
        <v>0</v>
      </c>
      <c r="O871" s="7">
        <f t="shared" si="4"/>
        <v>0</v>
      </c>
      <c r="P871" s="7">
        <f t="shared" si="5"/>
        <v>0</v>
      </c>
      <c r="R871" s="15"/>
      <c r="S871" s="15"/>
      <c r="U871" s="16"/>
      <c r="W871" s="16"/>
      <c r="X871" s="13"/>
      <c r="Y871" s="13"/>
    </row>
    <row r="872" ht="31.5" customHeight="1">
      <c r="D872" s="6" t="str">
        <f t="shared" si="1"/>
        <v/>
      </c>
      <c r="H872" s="7"/>
      <c r="K872" s="7">
        <f t="shared" si="2"/>
        <v>0</v>
      </c>
      <c r="N872" s="7">
        <f t="shared" si="3"/>
        <v>0</v>
      </c>
      <c r="O872" s="7">
        <f t="shared" si="4"/>
        <v>0</v>
      </c>
      <c r="P872" s="7">
        <f t="shared" si="5"/>
        <v>0</v>
      </c>
      <c r="R872" s="15"/>
      <c r="S872" s="15"/>
      <c r="U872" s="16"/>
      <c r="W872" s="16"/>
      <c r="X872" s="13"/>
      <c r="Y872" s="13"/>
    </row>
    <row r="873" ht="31.5" customHeight="1">
      <c r="D873" s="6" t="str">
        <f t="shared" si="1"/>
        <v/>
      </c>
      <c r="H873" s="7"/>
      <c r="K873" s="7">
        <f t="shared" si="2"/>
        <v>0</v>
      </c>
      <c r="N873" s="7">
        <f t="shared" si="3"/>
        <v>0</v>
      </c>
      <c r="O873" s="7">
        <f t="shared" si="4"/>
        <v>0</v>
      </c>
      <c r="P873" s="7">
        <f t="shared" si="5"/>
        <v>0</v>
      </c>
      <c r="R873" s="15"/>
      <c r="S873" s="15"/>
      <c r="U873" s="16"/>
      <c r="W873" s="16"/>
      <c r="X873" s="13"/>
      <c r="Y873" s="13"/>
    </row>
    <row r="874" ht="31.5" customHeight="1">
      <c r="D874" s="6" t="str">
        <f t="shared" si="1"/>
        <v/>
      </c>
      <c r="H874" s="7"/>
      <c r="K874" s="7">
        <f t="shared" si="2"/>
        <v>0</v>
      </c>
      <c r="N874" s="7">
        <f t="shared" si="3"/>
        <v>0</v>
      </c>
      <c r="O874" s="7">
        <f t="shared" si="4"/>
        <v>0</v>
      </c>
      <c r="P874" s="7">
        <f t="shared" si="5"/>
        <v>0</v>
      </c>
      <c r="R874" s="15"/>
      <c r="S874" s="15"/>
      <c r="U874" s="16"/>
      <c r="W874" s="16"/>
      <c r="X874" s="13"/>
      <c r="Y874" s="13"/>
    </row>
    <row r="875" ht="31.5" customHeight="1">
      <c r="D875" s="6" t="str">
        <f t="shared" si="1"/>
        <v/>
      </c>
      <c r="H875" s="7"/>
      <c r="K875" s="7">
        <f t="shared" si="2"/>
        <v>0</v>
      </c>
      <c r="N875" s="7">
        <f t="shared" si="3"/>
        <v>0</v>
      </c>
      <c r="O875" s="7">
        <f t="shared" si="4"/>
        <v>0</v>
      </c>
      <c r="P875" s="7">
        <f t="shared" si="5"/>
        <v>0</v>
      </c>
      <c r="R875" s="15"/>
      <c r="S875" s="15"/>
      <c r="U875" s="16"/>
      <c r="W875" s="16"/>
      <c r="X875" s="13"/>
      <c r="Y875" s="13"/>
    </row>
    <row r="876" ht="31.5" customHeight="1">
      <c r="D876" s="6" t="str">
        <f t="shared" si="1"/>
        <v/>
      </c>
      <c r="H876" s="7"/>
      <c r="K876" s="7">
        <f t="shared" si="2"/>
        <v>0</v>
      </c>
      <c r="N876" s="7">
        <f t="shared" si="3"/>
        <v>0</v>
      </c>
      <c r="O876" s="7">
        <f t="shared" si="4"/>
        <v>0</v>
      </c>
      <c r="P876" s="7">
        <f t="shared" si="5"/>
        <v>0</v>
      </c>
      <c r="R876" s="15"/>
      <c r="S876" s="15"/>
      <c r="U876" s="16"/>
      <c r="W876" s="16"/>
      <c r="X876" s="13"/>
      <c r="Y876" s="13"/>
    </row>
    <row r="877" ht="31.5" customHeight="1">
      <c r="D877" s="6" t="str">
        <f t="shared" si="1"/>
        <v/>
      </c>
      <c r="H877" s="7"/>
      <c r="K877" s="7">
        <f t="shared" si="2"/>
        <v>0</v>
      </c>
      <c r="N877" s="7">
        <f t="shared" si="3"/>
        <v>0</v>
      </c>
      <c r="O877" s="7">
        <f t="shared" si="4"/>
        <v>0</v>
      </c>
      <c r="P877" s="7">
        <f t="shared" si="5"/>
        <v>0</v>
      </c>
      <c r="R877" s="15"/>
      <c r="S877" s="15"/>
      <c r="U877" s="16"/>
      <c r="W877" s="16"/>
      <c r="X877" s="13"/>
      <c r="Y877" s="13"/>
    </row>
    <row r="878" ht="31.5" customHeight="1">
      <c r="D878" s="6" t="str">
        <f t="shared" si="1"/>
        <v/>
      </c>
      <c r="H878" s="7"/>
      <c r="K878" s="7">
        <f t="shared" si="2"/>
        <v>0</v>
      </c>
      <c r="N878" s="7">
        <f t="shared" si="3"/>
        <v>0</v>
      </c>
      <c r="O878" s="7">
        <f t="shared" si="4"/>
        <v>0</v>
      </c>
      <c r="P878" s="7">
        <f t="shared" si="5"/>
        <v>0</v>
      </c>
      <c r="R878" s="15"/>
      <c r="S878" s="15"/>
      <c r="U878" s="16"/>
      <c r="W878" s="16"/>
      <c r="X878" s="13"/>
      <c r="Y878" s="13"/>
    </row>
    <row r="879" ht="31.5" customHeight="1">
      <c r="D879" s="6" t="str">
        <f t="shared" si="1"/>
        <v/>
      </c>
      <c r="H879" s="7"/>
      <c r="K879" s="7">
        <f t="shared" si="2"/>
        <v>0</v>
      </c>
      <c r="N879" s="7">
        <f t="shared" si="3"/>
        <v>0</v>
      </c>
      <c r="O879" s="7">
        <f t="shared" si="4"/>
        <v>0</v>
      </c>
      <c r="P879" s="7">
        <f t="shared" si="5"/>
        <v>0</v>
      </c>
      <c r="R879" s="15"/>
      <c r="S879" s="15"/>
      <c r="U879" s="16"/>
      <c r="W879" s="16"/>
      <c r="X879" s="13"/>
      <c r="Y879" s="13"/>
    </row>
    <row r="880" ht="31.5" customHeight="1">
      <c r="D880" s="6" t="str">
        <f t="shared" si="1"/>
        <v/>
      </c>
      <c r="H880" s="7"/>
      <c r="K880" s="7">
        <f t="shared" si="2"/>
        <v>0</v>
      </c>
      <c r="N880" s="7">
        <f t="shared" si="3"/>
        <v>0</v>
      </c>
      <c r="O880" s="7">
        <f t="shared" si="4"/>
        <v>0</v>
      </c>
      <c r="P880" s="7">
        <f t="shared" si="5"/>
        <v>0</v>
      </c>
      <c r="R880" s="15"/>
      <c r="S880" s="15"/>
      <c r="U880" s="16"/>
      <c r="W880" s="16"/>
      <c r="X880" s="13"/>
      <c r="Y880" s="13"/>
    </row>
    <row r="881" ht="31.5" customHeight="1">
      <c r="D881" s="6" t="str">
        <f t="shared" si="1"/>
        <v/>
      </c>
      <c r="H881" s="7"/>
      <c r="K881" s="7">
        <f t="shared" si="2"/>
        <v>0</v>
      </c>
      <c r="N881" s="7">
        <f t="shared" si="3"/>
        <v>0</v>
      </c>
      <c r="O881" s="7">
        <f t="shared" si="4"/>
        <v>0</v>
      </c>
      <c r="P881" s="7">
        <f t="shared" si="5"/>
        <v>0</v>
      </c>
      <c r="R881" s="15"/>
      <c r="S881" s="15"/>
      <c r="U881" s="16"/>
      <c r="W881" s="16"/>
      <c r="X881" s="13"/>
      <c r="Y881" s="13"/>
    </row>
    <row r="882" ht="31.5" customHeight="1">
      <c r="D882" s="6" t="str">
        <f t="shared" si="1"/>
        <v/>
      </c>
      <c r="H882" s="7"/>
      <c r="K882" s="7">
        <f t="shared" si="2"/>
        <v>0</v>
      </c>
      <c r="N882" s="7">
        <f t="shared" si="3"/>
        <v>0</v>
      </c>
      <c r="O882" s="7">
        <f t="shared" si="4"/>
        <v>0</v>
      </c>
      <c r="P882" s="7">
        <f t="shared" si="5"/>
        <v>0</v>
      </c>
      <c r="R882" s="15"/>
      <c r="S882" s="15"/>
      <c r="U882" s="16"/>
      <c r="W882" s="16"/>
      <c r="X882" s="13"/>
      <c r="Y882" s="13"/>
    </row>
    <row r="883" ht="31.5" customHeight="1">
      <c r="D883" s="6" t="str">
        <f t="shared" si="1"/>
        <v/>
      </c>
      <c r="H883" s="7"/>
      <c r="K883" s="7">
        <f t="shared" si="2"/>
        <v>0</v>
      </c>
      <c r="N883" s="7">
        <f t="shared" si="3"/>
        <v>0</v>
      </c>
      <c r="O883" s="7">
        <f t="shared" si="4"/>
        <v>0</v>
      </c>
      <c r="P883" s="7">
        <f t="shared" si="5"/>
        <v>0</v>
      </c>
      <c r="R883" s="15"/>
      <c r="S883" s="15"/>
      <c r="U883" s="16"/>
      <c r="W883" s="16"/>
      <c r="X883" s="13"/>
      <c r="Y883" s="13"/>
    </row>
    <row r="884" ht="31.5" customHeight="1">
      <c r="D884" s="6" t="str">
        <f t="shared" si="1"/>
        <v/>
      </c>
      <c r="H884" s="7"/>
      <c r="K884" s="7">
        <f t="shared" si="2"/>
        <v>0</v>
      </c>
      <c r="N884" s="7">
        <f t="shared" si="3"/>
        <v>0</v>
      </c>
      <c r="O884" s="7">
        <f t="shared" si="4"/>
        <v>0</v>
      </c>
      <c r="P884" s="7">
        <f t="shared" si="5"/>
        <v>0</v>
      </c>
      <c r="R884" s="15"/>
      <c r="S884" s="15"/>
      <c r="U884" s="16"/>
      <c r="W884" s="16"/>
      <c r="X884" s="13"/>
      <c r="Y884" s="13"/>
    </row>
    <row r="885" ht="31.5" customHeight="1">
      <c r="D885" s="6" t="str">
        <f t="shared" si="1"/>
        <v/>
      </c>
      <c r="H885" s="7"/>
      <c r="K885" s="7">
        <f t="shared" si="2"/>
        <v>0</v>
      </c>
      <c r="N885" s="7">
        <f t="shared" si="3"/>
        <v>0</v>
      </c>
      <c r="O885" s="7">
        <f t="shared" si="4"/>
        <v>0</v>
      </c>
      <c r="P885" s="7">
        <f t="shared" si="5"/>
        <v>0</v>
      </c>
      <c r="R885" s="15"/>
      <c r="S885" s="15"/>
      <c r="U885" s="16"/>
      <c r="W885" s="16"/>
      <c r="X885" s="13"/>
      <c r="Y885" s="13"/>
    </row>
    <row r="886" ht="31.5" customHeight="1">
      <c r="D886" s="6" t="str">
        <f t="shared" si="1"/>
        <v/>
      </c>
      <c r="H886" s="7"/>
      <c r="K886" s="7">
        <f t="shared" si="2"/>
        <v>0</v>
      </c>
      <c r="N886" s="7">
        <f t="shared" si="3"/>
        <v>0</v>
      </c>
      <c r="O886" s="7">
        <f t="shared" si="4"/>
        <v>0</v>
      </c>
      <c r="P886" s="7">
        <f t="shared" si="5"/>
        <v>0</v>
      </c>
      <c r="R886" s="15"/>
      <c r="S886" s="15"/>
      <c r="U886" s="16"/>
      <c r="W886" s="16"/>
      <c r="X886" s="13"/>
      <c r="Y886" s="13"/>
    </row>
    <row r="887" ht="31.5" customHeight="1">
      <c r="D887" s="6" t="str">
        <f t="shared" si="1"/>
        <v/>
      </c>
      <c r="H887" s="7"/>
      <c r="K887" s="7">
        <f t="shared" si="2"/>
        <v>0</v>
      </c>
      <c r="N887" s="7">
        <f t="shared" si="3"/>
        <v>0</v>
      </c>
      <c r="O887" s="7">
        <f t="shared" si="4"/>
        <v>0</v>
      </c>
      <c r="P887" s="7">
        <f t="shared" si="5"/>
        <v>0</v>
      </c>
      <c r="R887" s="15"/>
      <c r="S887" s="15"/>
      <c r="U887" s="16"/>
      <c r="W887" s="16"/>
      <c r="X887" s="13"/>
      <c r="Y887" s="13"/>
    </row>
    <row r="888" ht="31.5" customHeight="1">
      <c r="D888" s="6" t="str">
        <f t="shared" si="1"/>
        <v/>
      </c>
      <c r="H888" s="7"/>
      <c r="K888" s="7">
        <f t="shared" si="2"/>
        <v>0</v>
      </c>
      <c r="N888" s="7">
        <f t="shared" si="3"/>
        <v>0</v>
      </c>
      <c r="O888" s="7">
        <f t="shared" si="4"/>
        <v>0</v>
      </c>
      <c r="P888" s="7">
        <f t="shared" si="5"/>
        <v>0</v>
      </c>
      <c r="R888" s="15"/>
      <c r="S888" s="15"/>
      <c r="U888" s="16"/>
      <c r="W888" s="16"/>
      <c r="X888" s="13"/>
      <c r="Y888" s="13"/>
    </row>
    <row r="889" ht="31.5" customHeight="1">
      <c r="D889" s="6" t="str">
        <f t="shared" si="1"/>
        <v/>
      </c>
      <c r="H889" s="7"/>
      <c r="K889" s="7">
        <f t="shared" si="2"/>
        <v>0</v>
      </c>
      <c r="N889" s="7">
        <f t="shared" si="3"/>
        <v>0</v>
      </c>
      <c r="O889" s="7">
        <f t="shared" si="4"/>
        <v>0</v>
      </c>
      <c r="P889" s="7">
        <f t="shared" si="5"/>
        <v>0</v>
      </c>
      <c r="R889" s="15"/>
      <c r="S889" s="15"/>
      <c r="U889" s="16"/>
      <c r="W889" s="16"/>
      <c r="X889" s="13"/>
      <c r="Y889" s="13"/>
    </row>
    <row r="890" ht="31.5" customHeight="1">
      <c r="D890" s="6" t="str">
        <f t="shared" si="1"/>
        <v/>
      </c>
      <c r="H890" s="7"/>
      <c r="K890" s="7">
        <f t="shared" si="2"/>
        <v>0</v>
      </c>
      <c r="N890" s="7">
        <f t="shared" si="3"/>
        <v>0</v>
      </c>
      <c r="O890" s="7">
        <f t="shared" si="4"/>
        <v>0</v>
      </c>
      <c r="P890" s="7">
        <f t="shared" si="5"/>
        <v>0</v>
      </c>
      <c r="R890" s="15"/>
      <c r="S890" s="15"/>
      <c r="U890" s="16"/>
      <c r="W890" s="16"/>
      <c r="X890" s="13"/>
      <c r="Y890" s="13"/>
    </row>
    <row r="891" ht="31.5" customHeight="1">
      <c r="D891" s="6" t="str">
        <f t="shared" si="1"/>
        <v/>
      </c>
      <c r="H891" s="7"/>
      <c r="K891" s="7">
        <f t="shared" si="2"/>
        <v>0</v>
      </c>
      <c r="N891" s="7">
        <f t="shared" si="3"/>
        <v>0</v>
      </c>
      <c r="O891" s="7">
        <f t="shared" si="4"/>
        <v>0</v>
      </c>
      <c r="P891" s="7">
        <f t="shared" si="5"/>
        <v>0</v>
      </c>
      <c r="R891" s="15"/>
      <c r="S891" s="15"/>
      <c r="U891" s="16"/>
      <c r="W891" s="16"/>
      <c r="X891" s="13"/>
      <c r="Y891" s="13"/>
    </row>
    <row r="892" ht="31.5" customHeight="1">
      <c r="D892" s="6" t="str">
        <f t="shared" si="1"/>
        <v/>
      </c>
      <c r="H892" s="7"/>
      <c r="K892" s="7">
        <f t="shared" si="2"/>
        <v>0</v>
      </c>
      <c r="N892" s="7">
        <f t="shared" si="3"/>
        <v>0</v>
      </c>
      <c r="O892" s="7">
        <f t="shared" si="4"/>
        <v>0</v>
      </c>
      <c r="P892" s="7">
        <f t="shared" si="5"/>
        <v>0</v>
      </c>
      <c r="R892" s="15"/>
      <c r="S892" s="15"/>
      <c r="U892" s="16"/>
      <c r="W892" s="16"/>
      <c r="X892" s="13"/>
      <c r="Y892" s="13"/>
    </row>
    <row r="893" ht="31.5" customHeight="1">
      <c r="D893" s="6" t="str">
        <f t="shared" si="1"/>
        <v/>
      </c>
      <c r="H893" s="7"/>
      <c r="K893" s="7">
        <f t="shared" si="2"/>
        <v>0</v>
      </c>
      <c r="N893" s="7">
        <f t="shared" si="3"/>
        <v>0</v>
      </c>
      <c r="O893" s="7">
        <f t="shared" si="4"/>
        <v>0</v>
      </c>
      <c r="P893" s="7">
        <f t="shared" si="5"/>
        <v>0</v>
      </c>
      <c r="R893" s="15"/>
      <c r="S893" s="15"/>
      <c r="U893" s="16"/>
      <c r="W893" s="16"/>
      <c r="X893" s="13"/>
      <c r="Y893" s="13"/>
    </row>
    <row r="894" ht="31.5" customHeight="1">
      <c r="D894" s="6" t="str">
        <f t="shared" si="1"/>
        <v/>
      </c>
      <c r="H894" s="7"/>
      <c r="K894" s="7">
        <f t="shared" si="2"/>
        <v>0</v>
      </c>
      <c r="N894" s="7">
        <f t="shared" si="3"/>
        <v>0</v>
      </c>
      <c r="O894" s="7">
        <f t="shared" si="4"/>
        <v>0</v>
      </c>
      <c r="P894" s="7">
        <f t="shared" si="5"/>
        <v>0</v>
      </c>
      <c r="R894" s="15"/>
      <c r="S894" s="15"/>
      <c r="U894" s="16"/>
      <c r="W894" s="16"/>
      <c r="X894" s="13"/>
      <c r="Y894" s="13"/>
    </row>
    <row r="895" ht="31.5" customHeight="1">
      <c r="D895" s="6" t="str">
        <f t="shared" si="1"/>
        <v/>
      </c>
      <c r="H895" s="7"/>
      <c r="K895" s="7">
        <f t="shared" si="2"/>
        <v>0</v>
      </c>
      <c r="N895" s="7">
        <f t="shared" si="3"/>
        <v>0</v>
      </c>
      <c r="O895" s="7">
        <f t="shared" si="4"/>
        <v>0</v>
      </c>
      <c r="P895" s="7">
        <f t="shared" si="5"/>
        <v>0</v>
      </c>
      <c r="R895" s="15"/>
      <c r="S895" s="15"/>
      <c r="U895" s="16"/>
      <c r="W895" s="16"/>
      <c r="X895" s="13"/>
      <c r="Y895" s="13"/>
    </row>
    <row r="896" ht="31.5" customHeight="1">
      <c r="D896" s="6" t="str">
        <f t="shared" si="1"/>
        <v/>
      </c>
      <c r="H896" s="7"/>
      <c r="K896" s="7">
        <f t="shared" si="2"/>
        <v>0</v>
      </c>
      <c r="N896" s="7">
        <f t="shared" si="3"/>
        <v>0</v>
      </c>
      <c r="O896" s="7">
        <f t="shared" si="4"/>
        <v>0</v>
      </c>
      <c r="P896" s="7">
        <f t="shared" si="5"/>
        <v>0</v>
      </c>
      <c r="R896" s="15"/>
      <c r="S896" s="15"/>
      <c r="U896" s="16"/>
      <c r="W896" s="16"/>
      <c r="X896" s="13"/>
      <c r="Y896" s="13"/>
    </row>
    <row r="897" ht="31.5" customHeight="1">
      <c r="D897" s="6" t="str">
        <f t="shared" si="1"/>
        <v/>
      </c>
      <c r="H897" s="7"/>
      <c r="K897" s="7">
        <f t="shared" si="2"/>
        <v>0</v>
      </c>
      <c r="N897" s="7">
        <f t="shared" si="3"/>
        <v>0</v>
      </c>
      <c r="O897" s="7">
        <f t="shared" si="4"/>
        <v>0</v>
      </c>
      <c r="P897" s="7">
        <f t="shared" si="5"/>
        <v>0</v>
      </c>
      <c r="R897" s="15"/>
      <c r="S897" s="15"/>
      <c r="U897" s="16"/>
      <c r="W897" s="16"/>
      <c r="X897" s="13"/>
      <c r="Y897" s="13"/>
    </row>
    <row r="898" ht="31.5" customHeight="1">
      <c r="D898" s="6" t="str">
        <f t="shared" si="1"/>
        <v/>
      </c>
      <c r="H898" s="7"/>
      <c r="K898" s="7">
        <f t="shared" si="2"/>
        <v>0</v>
      </c>
      <c r="N898" s="7">
        <f t="shared" si="3"/>
        <v>0</v>
      </c>
      <c r="O898" s="7">
        <f t="shared" si="4"/>
        <v>0</v>
      </c>
      <c r="P898" s="7">
        <f t="shared" si="5"/>
        <v>0</v>
      </c>
      <c r="R898" s="15"/>
      <c r="S898" s="15"/>
      <c r="U898" s="16"/>
      <c r="W898" s="16"/>
      <c r="X898" s="13"/>
      <c r="Y898" s="13"/>
    </row>
    <row r="899" ht="31.5" customHeight="1">
      <c r="D899" s="6" t="str">
        <f t="shared" si="1"/>
        <v/>
      </c>
      <c r="H899" s="7"/>
      <c r="K899" s="7">
        <f t="shared" si="2"/>
        <v>0</v>
      </c>
      <c r="N899" s="7">
        <f t="shared" si="3"/>
        <v>0</v>
      </c>
      <c r="O899" s="7">
        <f t="shared" si="4"/>
        <v>0</v>
      </c>
      <c r="P899" s="7">
        <f t="shared" si="5"/>
        <v>0</v>
      </c>
      <c r="R899" s="15"/>
      <c r="S899" s="15"/>
      <c r="U899" s="16"/>
      <c r="W899" s="16"/>
      <c r="X899" s="13"/>
      <c r="Y899" s="13"/>
    </row>
    <row r="900" ht="31.5" customHeight="1">
      <c r="D900" s="6" t="str">
        <f t="shared" si="1"/>
        <v/>
      </c>
      <c r="H900" s="7"/>
      <c r="K900" s="7">
        <f t="shared" si="2"/>
        <v>0</v>
      </c>
      <c r="N900" s="7">
        <f t="shared" si="3"/>
        <v>0</v>
      </c>
      <c r="O900" s="7">
        <f t="shared" si="4"/>
        <v>0</v>
      </c>
      <c r="P900" s="7">
        <f t="shared" si="5"/>
        <v>0</v>
      </c>
      <c r="R900" s="15"/>
      <c r="S900" s="15"/>
      <c r="U900" s="16"/>
      <c r="W900" s="16"/>
      <c r="X900" s="13"/>
      <c r="Y900" s="13"/>
    </row>
    <row r="901" ht="31.5" customHeight="1">
      <c r="D901" s="6" t="str">
        <f t="shared" si="1"/>
        <v/>
      </c>
      <c r="H901" s="7"/>
      <c r="K901" s="7">
        <f t="shared" si="2"/>
        <v>0</v>
      </c>
      <c r="N901" s="7">
        <f t="shared" si="3"/>
        <v>0</v>
      </c>
      <c r="O901" s="7">
        <f t="shared" si="4"/>
        <v>0</v>
      </c>
      <c r="P901" s="7">
        <f t="shared" si="5"/>
        <v>0</v>
      </c>
      <c r="R901" s="15"/>
      <c r="S901" s="15"/>
      <c r="U901" s="16"/>
      <c r="W901" s="16"/>
      <c r="X901" s="13"/>
      <c r="Y901" s="13"/>
    </row>
    <row r="902" ht="31.5" customHeight="1">
      <c r="D902" s="6" t="str">
        <f t="shared" si="1"/>
        <v/>
      </c>
      <c r="H902" s="7"/>
      <c r="K902" s="7">
        <f t="shared" si="2"/>
        <v>0</v>
      </c>
      <c r="N902" s="7">
        <f t="shared" si="3"/>
        <v>0</v>
      </c>
      <c r="O902" s="7">
        <f t="shared" si="4"/>
        <v>0</v>
      </c>
      <c r="P902" s="7">
        <f t="shared" si="5"/>
        <v>0</v>
      </c>
      <c r="R902" s="15"/>
      <c r="S902" s="15"/>
      <c r="U902" s="16"/>
      <c r="W902" s="16"/>
      <c r="X902" s="13"/>
      <c r="Y902" s="13"/>
    </row>
    <row r="903" ht="31.5" customHeight="1">
      <c r="D903" s="6" t="str">
        <f t="shared" si="1"/>
        <v/>
      </c>
      <c r="H903" s="7"/>
      <c r="K903" s="7">
        <f t="shared" si="2"/>
        <v>0</v>
      </c>
      <c r="N903" s="7">
        <f t="shared" si="3"/>
        <v>0</v>
      </c>
      <c r="O903" s="7">
        <f t="shared" si="4"/>
        <v>0</v>
      </c>
      <c r="P903" s="7">
        <f t="shared" si="5"/>
        <v>0</v>
      </c>
      <c r="R903" s="15"/>
      <c r="S903" s="15"/>
      <c r="U903" s="16"/>
      <c r="W903" s="16"/>
      <c r="X903" s="13"/>
      <c r="Y903" s="13"/>
    </row>
    <row r="904" ht="31.5" customHeight="1">
      <c r="D904" s="6" t="str">
        <f t="shared" si="1"/>
        <v/>
      </c>
      <c r="H904" s="7"/>
      <c r="K904" s="7">
        <f t="shared" si="2"/>
        <v>0</v>
      </c>
      <c r="N904" s="7">
        <f t="shared" si="3"/>
        <v>0</v>
      </c>
      <c r="O904" s="7">
        <f t="shared" si="4"/>
        <v>0</v>
      </c>
      <c r="P904" s="7">
        <f t="shared" si="5"/>
        <v>0</v>
      </c>
      <c r="R904" s="15"/>
      <c r="S904" s="15"/>
      <c r="U904" s="16"/>
      <c r="W904" s="16"/>
      <c r="X904" s="13"/>
      <c r="Y904" s="13"/>
    </row>
    <row r="905" ht="31.5" customHeight="1">
      <c r="D905" s="6" t="str">
        <f t="shared" si="1"/>
        <v/>
      </c>
      <c r="H905" s="7"/>
      <c r="K905" s="7">
        <f t="shared" si="2"/>
        <v>0</v>
      </c>
      <c r="N905" s="7">
        <f t="shared" si="3"/>
        <v>0</v>
      </c>
      <c r="O905" s="7">
        <f t="shared" si="4"/>
        <v>0</v>
      </c>
      <c r="P905" s="7">
        <f t="shared" si="5"/>
        <v>0</v>
      </c>
      <c r="R905" s="15"/>
      <c r="S905" s="15"/>
      <c r="U905" s="16"/>
      <c r="W905" s="16"/>
      <c r="X905" s="13"/>
      <c r="Y905" s="13"/>
    </row>
    <row r="906" ht="31.5" customHeight="1">
      <c r="D906" s="6" t="str">
        <f t="shared" si="1"/>
        <v/>
      </c>
      <c r="H906" s="7"/>
      <c r="K906" s="7">
        <f t="shared" si="2"/>
        <v>0</v>
      </c>
      <c r="N906" s="7">
        <f t="shared" si="3"/>
        <v>0</v>
      </c>
      <c r="O906" s="7">
        <f t="shared" si="4"/>
        <v>0</v>
      </c>
      <c r="P906" s="7">
        <f t="shared" si="5"/>
        <v>0</v>
      </c>
      <c r="R906" s="15"/>
      <c r="S906" s="15"/>
      <c r="U906" s="16"/>
      <c r="W906" s="16"/>
      <c r="X906" s="13"/>
      <c r="Y906" s="13"/>
    </row>
    <row r="907" ht="31.5" customHeight="1">
      <c r="D907" s="6" t="str">
        <f t="shared" si="1"/>
        <v/>
      </c>
      <c r="H907" s="7"/>
      <c r="K907" s="7">
        <f t="shared" si="2"/>
        <v>0</v>
      </c>
      <c r="N907" s="7">
        <f t="shared" si="3"/>
        <v>0</v>
      </c>
      <c r="O907" s="7">
        <f t="shared" si="4"/>
        <v>0</v>
      </c>
      <c r="P907" s="7">
        <f t="shared" si="5"/>
        <v>0</v>
      </c>
      <c r="R907" s="15"/>
      <c r="S907" s="15"/>
      <c r="U907" s="16"/>
      <c r="W907" s="16"/>
      <c r="X907" s="13"/>
      <c r="Y907" s="13"/>
    </row>
    <row r="908" ht="31.5" customHeight="1">
      <c r="D908" s="6" t="str">
        <f t="shared" si="1"/>
        <v/>
      </c>
      <c r="H908" s="7"/>
      <c r="K908" s="7">
        <f t="shared" si="2"/>
        <v>0</v>
      </c>
      <c r="N908" s="7">
        <f t="shared" si="3"/>
        <v>0</v>
      </c>
      <c r="O908" s="7">
        <f t="shared" si="4"/>
        <v>0</v>
      </c>
      <c r="P908" s="7">
        <f t="shared" si="5"/>
        <v>0</v>
      </c>
      <c r="R908" s="15"/>
      <c r="S908" s="15"/>
      <c r="U908" s="16"/>
      <c r="W908" s="16"/>
      <c r="X908" s="13"/>
      <c r="Y908" s="13"/>
    </row>
    <row r="909" ht="31.5" customHeight="1">
      <c r="D909" s="6" t="str">
        <f t="shared" si="1"/>
        <v/>
      </c>
      <c r="H909" s="7"/>
      <c r="K909" s="7">
        <f t="shared" si="2"/>
        <v>0</v>
      </c>
      <c r="N909" s="7">
        <f t="shared" si="3"/>
        <v>0</v>
      </c>
      <c r="O909" s="7">
        <f t="shared" si="4"/>
        <v>0</v>
      </c>
      <c r="P909" s="7">
        <f t="shared" si="5"/>
        <v>0</v>
      </c>
      <c r="R909" s="15"/>
      <c r="S909" s="15"/>
      <c r="U909" s="16"/>
      <c r="W909" s="16"/>
      <c r="X909" s="13"/>
      <c r="Y909" s="13"/>
    </row>
    <row r="910" ht="31.5" customHeight="1">
      <c r="D910" s="6" t="str">
        <f t="shared" si="1"/>
        <v/>
      </c>
      <c r="H910" s="7"/>
      <c r="K910" s="7">
        <f t="shared" si="2"/>
        <v>0</v>
      </c>
      <c r="N910" s="7">
        <f t="shared" si="3"/>
        <v>0</v>
      </c>
      <c r="O910" s="7">
        <f t="shared" si="4"/>
        <v>0</v>
      </c>
      <c r="P910" s="7">
        <f t="shared" si="5"/>
        <v>0</v>
      </c>
      <c r="R910" s="15"/>
      <c r="S910" s="15"/>
      <c r="U910" s="16"/>
      <c r="W910" s="16"/>
      <c r="X910" s="13"/>
      <c r="Y910" s="13"/>
    </row>
    <row r="911" ht="31.5" customHeight="1">
      <c r="D911" s="6" t="str">
        <f t="shared" si="1"/>
        <v/>
      </c>
      <c r="H911" s="7"/>
      <c r="K911" s="7">
        <f t="shared" si="2"/>
        <v>0</v>
      </c>
      <c r="N911" s="7">
        <f t="shared" si="3"/>
        <v>0</v>
      </c>
      <c r="O911" s="7">
        <f t="shared" si="4"/>
        <v>0</v>
      </c>
      <c r="P911" s="7">
        <f t="shared" si="5"/>
        <v>0</v>
      </c>
      <c r="R911" s="15"/>
      <c r="S911" s="15"/>
      <c r="U911" s="16"/>
      <c r="W911" s="16"/>
      <c r="X911" s="13"/>
      <c r="Y911" s="13"/>
    </row>
    <row r="912" ht="31.5" customHeight="1">
      <c r="D912" s="6" t="str">
        <f t="shared" si="1"/>
        <v/>
      </c>
      <c r="H912" s="7"/>
      <c r="K912" s="7">
        <f t="shared" si="2"/>
        <v>0</v>
      </c>
      <c r="N912" s="7">
        <f t="shared" si="3"/>
        <v>0</v>
      </c>
      <c r="O912" s="7">
        <f t="shared" si="4"/>
        <v>0</v>
      </c>
      <c r="P912" s="7">
        <f t="shared" si="5"/>
        <v>0</v>
      </c>
      <c r="R912" s="15"/>
      <c r="S912" s="15"/>
      <c r="U912" s="16"/>
      <c r="W912" s="16"/>
      <c r="X912" s="13"/>
      <c r="Y912" s="13"/>
    </row>
    <row r="913" ht="31.5" customHeight="1">
      <c r="D913" s="6" t="str">
        <f t="shared" si="1"/>
        <v/>
      </c>
      <c r="H913" s="7"/>
      <c r="K913" s="7">
        <f t="shared" si="2"/>
        <v>0</v>
      </c>
      <c r="N913" s="7">
        <f t="shared" si="3"/>
        <v>0</v>
      </c>
      <c r="O913" s="7">
        <f t="shared" si="4"/>
        <v>0</v>
      </c>
      <c r="P913" s="7">
        <f t="shared" si="5"/>
        <v>0</v>
      </c>
      <c r="R913" s="15"/>
      <c r="S913" s="15"/>
      <c r="U913" s="16"/>
      <c r="W913" s="16"/>
      <c r="X913" s="13"/>
      <c r="Y913" s="13"/>
    </row>
    <row r="914" ht="31.5" customHeight="1">
      <c r="D914" s="6" t="str">
        <f t="shared" si="1"/>
        <v/>
      </c>
      <c r="H914" s="7"/>
      <c r="K914" s="7">
        <f t="shared" si="2"/>
        <v>0</v>
      </c>
      <c r="N914" s="7">
        <f t="shared" si="3"/>
        <v>0</v>
      </c>
      <c r="O914" s="7">
        <f t="shared" si="4"/>
        <v>0</v>
      </c>
      <c r="P914" s="7">
        <f t="shared" si="5"/>
        <v>0</v>
      </c>
      <c r="R914" s="15"/>
      <c r="S914" s="15"/>
      <c r="U914" s="16"/>
      <c r="W914" s="16"/>
      <c r="X914" s="13"/>
      <c r="Y914" s="13"/>
    </row>
    <row r="915" ht="31.5" customHeight="1">
      <c r="D915" s="6" t="str">
        <f t="shared" si="1"/>
        <v/>
      </c>
      <c r="H915" s="7"/>
      <c r="K915" s="7">
        <f t="shared" si="2"/>
        <v>0</v>
      </c>
      <c r="N915" s="7">
        <f t="shared" si="3"/>
        <v>0</v>
      </c>
      <c r="O915" s="7">
        <f t="shared" si="4"/>
        <v>0</v>
      </c>
      <c r="P915" s="7">
        <f t="shared" si="5"/>
        <v>0</v>
      </c>
      <c r="R915" s="15"/>
      <c r="S915" s="15"/>
      <c r="U915" s="16"/>
      <c r="W915" s="16"/>
      <c r="X915" s="13"/>
      <c r="Y915" s="13"/>
    </row>
    <row r="916" ht="31.5" customHeight="1">
      <c r="D916" s="6" t="str">
        <f t="shared" si="1"/>
        <v/>
      </c>
      <c r="H916" s="7"/>
      <c r="K916" s="7">
        <f t="shared" si="2"/>
        <v>0</v>
      </c>
      <c r="N916" s="7">
        <f t="shared" si="3"/>
        <v>0</v>
      </c>
      <c r="O916" s="7">
        <f t="shared" si="4"/>
        <v>0</v>
      </c>
      <c r="P916" s="7">
        <f t="shared" si="5"/>
        <v>0</v>
      </c>
      <c r="R916" s="15"/>
      <c r="S916" s="15"/>
      <c r="U916" s="16"/>
      <c r="W916" s="16"/>
      <c r="X916" s="13"/>
      <c r="Y916" s="13"/>
    </row>
    <row r="917" ht="31.5" customHeight="1">
      <c r="D917" s="6" t="str">
        <f t="shared" si="1"/>
        <v/>
      </c>
      <c r="H917" s="7"/>
      <c r="K917" s="7">
        <f t="shared" si="2"/>
        <v>0</v>
      </c>
      <c r="N917" s="7">
        <f t="shared" si="3"/>
        <v>0</v>
      </c>
      <c r="O917" s="7">
        <f t="shared" si="4"/>
        <v>0</v>
      </c>
      <c r="P917" s="7">
        <f t="shared" si="5"/>
        <v>0</v>
      </c>
      <c r="R917" s="15"/>
      <c r="S917" s="15"/>
      <c r="U917" s="16"/>
      <c r="W917" s="16"/>
      <c r="X917" s="13"/>
      <c r="Y917" s="13"/>
    </row>
    <row r="918" ht="31.5" customHeight="1">
      <c r="D918" s="6" t="str">
        <f t="shared" si="1"/>
        <v/>
      </c>
      <c r="H918" s="7"/>
      <c r="K918" s="7">
        <f t="shared" si="2"/>
        <v>0</v>
      </c>
      <c r="N918" s="7">
        <f t="shared" si="3"/>
        <v>0</v>
      </c>
      <c r="O918" s="7">
        <f t="shared" si="4"/>
        <v>0</v>
      </c>
      <c r="P918" s="7">
        <f t="shared" si="5"/>
        <v>0</v>
      </c>
      <c r="R918" s="15"/>
      <c r="S918" s="15"/>
      <c r="U918" s="16"/>
      <c r="W918" s="16"/>
      <c r="X918" s="13"/>
      <c r="Y918" s="13"/>
    </row>
    <row r="919" ht="31.5" customHeight="1">
      <c r="D919" s="6" t="str">
        <f t="shared" si="1"/>
        <v/>
      </c>
      <c r="H919" s="7"/>
      <c r="K919" s="7">
        <f t="shared" si="2"/>
        <v>0</v>
      </c>
      <c r="N919" s="7">
        <f t="shared" si="3"/>
        <v>0</v>
      </c>
      <c r="O919" s="7">
        <f t="shared" si="4"/>
        <v>0</v>
      </c>
      <c r="P919" s="7">
        <f t="shared" si="5"/>
        <v>0</v>
      </c>
      <c r="R919" s="15"/>
      <c r="S919" s="15"/>
      <c r="U919" s="16"/>
      <c r="W919" s="16"/>
      <c r="X919" s="13"/>
      <c r="Y919" s="13"/>
    </row>
    <row r="920" ht="31.5" customHeight="1">
      <c r="D920" s="6" t="str">
        <f t="shared" si="1"/>
        <v/>
      </c>
      <c r="H920" s="7"/>
      <c r="K920" s="7">
        <f t="shared" si="2"/>
        <v>0</v>
      </c>
      <c r="N920" s="7">
        <f t="shared" si="3"/>
        <v>0</v>
      </c>
      <c r="O920" s="7">
        <f t="shared" si="4"/>
        <v>0</v>
      </c>
      <c r="P920" s="7">
        <f t="shared" si="5"/>
        <v>0</v>
      </c>
      <c r="R920" s="15"/>
      <c r="S920" s="15"/>
      <c r="U920" s="16"/>
      <c r="W920" s="16"/>
      <c r="X920" s="13"/>
      <c r="Y920" s="13"/>
    </row>
    <row r="921" ht="31.5" customHeight="1">
      <c r="D921" s="6" t="str">
        <f t="shared" si="1"/>
        <v/>
      </c>
      <c r="H921" s="7"/>
      <c r="K921" s="7">
        <f t="shared" si="2"/>
        <v>0</v>
      </c>
      <c r="N921" s="7">
        <f t="shared" si="3"/>
        <v>0</v>
      </c>
      <c r="O921" s="7">
        <f t="shared" si="4"/>
        <v>0</v>
      </c>
      <c r="P921" s="7">
        <f t="shared" si="5"/>
        <v>0</v>
      </c>
      <c r="R921" s="15"/>
      <c r="S921" s="15"/>
      <c r="U921" s="16"/>
      <c r="W921" s="16"/>
      <c r="X921" s="13"/>
      <c r="Y921" s="13"/>
    </row>
    <row r="922" ht="31.5" customHeight="1">
      <c r="D922" s="6" t="str">
        <f t="shared" si="1"/>
        <v/>
      </c>
      <c r="H922" s="7"/>
      <c r="K922" s="7">
        <f t="shared" si="2"/>
        <v>0</v>
      </c>
      <c r="N922" s="7">
        <f t="shared" si="3"/>
        <v>0</v>
      </c>
      <c r="O922" s="7">
        <f t="shared" si="4"/>
        <v>0</v>
      </c>
      <c r="P922" s="7">
        <f t="shared" si="5"/>
        <v>0</v>
      </c>
      <c r="R922" s="15"/>
      <c r="S922" s="15"/>
      <c r="U922" s="16"/>
      <c r="W922" s="16"/>
      <c r="X922" s="13"/>
      <c r="Y922" s="13"/>
    </row>
    <row r="923" ht="31.5" customHeight="1">
      <c r="D923" s="6" t="str">
        <f t="shared" si="1"/>
        <v/>
      </c>
      <c r="H923" s="7"/>
      <c r="K923" s="7">
        <f t="shared" si="2"/>
        <v>0</v>
      </c>
      <c r="N923" s="7">
        <f t="shared" si="3"/>
        <v>0</v>
      </c>
      <c r="O923" s="7">
        <f t="shared" si="4"/>
        <v>0</v>
      </c>
      <c r="P923" s="7">
        <f t="shared" si="5"/>
        <v>0</v>
      </c>
      <c r="R923" s="15"/>
      <c r="S923" s="15"/>
      <c r="U923" s="16"/>
      <c r="W923" s="16"/>
      <c r="X923" s="13"/>
      <c r="Y923" s="13"/>
    </row>
    <row r="924" ht="31.5" customHeight="1">
      <c r="D924" s="6" t="str">
        <f t="shared" si="1"/>
        <v/>
      </c>
      <c r="H924" s="7"/>
      <c r="K924" s="7">
        <f t="shared" si="2"/>
        <v>0</v>
      </c>
      <c r="N924" s="7">
        <f t="shared" si="3"/>
        <v>0</v>
      </c>
      <c r="O924" s="7">
        <f t="shared" si="4"/>
        <v>0</v>
      </c>
      <c r="P924" s="7">
        <f t="shared" si="5"/>
        <v>0</v>
      </c>
      <c r="R924" s="15"/>
      <c r="S924" s="15"/>
      <c r="U924" s="16"/>
      <c r="W924" s="16"/>
      <c r="X924" s="13"/>
      <c r="Y924" s="13"/>
    </row>
    <row r="925" ht="31.5" customHeight="1">
      <c r="D925" s="6" t="str">
        <f t="shared" si="1"/>
        <v/>
      </c>
      <c r="H925" s="7"/>
      <c r="K925" s="7">
        <f t="shared" si="2"/>
        <v>0</v>
      </c>
      <c r="N925" s="7">
        <f t="shared" si="3"/>
        <v>0</v>
      </c>
      <c r="O925" s="7">
        <f t="shared" si="4"/>
        <v>0</v>
      </c>
      <c r="P925" s="7">
        <f t="shared" si="5"/>
        <v>0</v>
      </c>
      <c r="R925" s="15"/>
      <c r="S925" s="15"/>
      <c r="U925" s="16"/>
      <c r="W925" s="16"/>
      <c r="X925" s="13"/>
      <c r="Y925" s="13"/>
    </row>
    <row r="926" ht="31.5" customHeight="1">
      <c r="D926" s="6" t="str">
        <f t="shared" si="1"/>
        <v/>
      </c>
      <c r="H926" s="7"/>
      <c r="K926" s="7">
        <f t="shared" si="2"/>
        <v>0</v>
      </c>
      <c r="N926" s="7">
        <f t="shared" si="3"/>
        <v>0</v>
      </c>
      <c r="O926" s="7">
        <f t="shared" si="4"/>
        <v>0</v>
      </c>
      <c r="P926" s="7">
        <f t="shared" si="5"/>
        <v>0</v>
      </c>
      <c r="R926" s="15"/>
      <c r="S926" s="15"/>
      <c r="U926" s="16"/>
      <c r="W926" s="16"/>
      <c r="X926" s="13"/>
      <c r="Y926" s="13"/>
    </row>
    <row r="927" ht="31.5" customHeight="1">
      <c r="D927" s="6" t="str">
        <f t="shared" si="1"/>
        <v/>
      </c>
      <c r="H927" s="7"/>
      <c r="K927" s="7">
        <f t="shared" si="2"/>
        <v>0</v>
      </c>
      <c r="N927" s="7">
        <f t="shared" si="3"/>
        <v>0</v>
      </c>
      <c r="O927" s="7">
        <f t="shared" si="4"/>
        <v>0</v>
      </c>
      <c r="P927" s="7">
        <f t="shared" si="5"/>
        <v>0</v>
      </c>
      <c r="R927" s="15"/>
      <c r="S927" s="15"/>
      <c r="U927" s="16"/>
      <c r="W927" s="16"/>
      <c r="X927" s="13"/>
      <c r="Y927" s="13"/>
    </row>
    <row r="928" ht="31.5" customHeight="1">
      <c r="D928" s="6" t="str">
        <f t="shared" si="1"/>
        <v/>
      </c>
      <c r="H928" s="7"/>
      <c r="K928" s="7">
        <f t="shared" si="2"/>
        <v>0</v>
      </c>
      <c r="N928" s="7">
        <f t="shared" si="3"/>
        <v>0</v>
      </c>
      <c r="O928" s="7">
        <f t="shared" si="4"/>
        <v>0</v>
      </c>
      <c r="P928" s="7">
        <f t="shared" si="5"/>
        <v>0</v>
      </c>
      <c r="R928" s="15"/>
      <c r="S928" s="15"/>
      <c r="U928" s="16"/>
      <c r="W928" s="16"/>
      <c r="X928" s="13"/>
      <c r="Y928" s="13"/>
    </row>
    <row r="929" ht="31.5" customHeight="1">
      <c r="D929" s="6" t="str">
        <f t="shared" si="1"/>
        <v/>
      </c>
      <c r="H929" s="7"/>
      <c r="K929" s="7">
        <f t="shared" si="2"/>
        <v>0</v>
      </c>
      <c r="N929" s="7">
        <f t="shared" si="3"/>
        <v>0</v>
      </c>
      <c r="O929" s="7">
        <f t="shared" si="4"/>
        <v>0</v>
      </c>
      <c r="P929" s="7">
        <f t="shared" si="5"/>
        <v>0</v>
      </c>
      <c r="R929" s="15"/>
      <c r="S929" s="15"/>
      <c r="U929" s="16"/>
      <c r="W929" s="16"/>
      <c r="X929" s="13"/>
      <c r="Y929" s="13"/>
    </row>
    <row r="930" ht="31.5" customHeight="1">
      <c r="D930" s="6" t="str">
        <f t="shared" si="1"/>
        <v/>
      </c>
      <c r="H930" s="7"/>
      <c r="K930" s="7">
        <f t="shared" si="2"/>
        <v>0</v>
      </c>
      <c r="N930" s="7">
        <f t="shared" si="3"/>
        <v>0</v>
      </c>
      <c r="O930" s="7">
        <f t="shared" si="4"/>
        <v>0</v>
      </c>
      <c r="P930" s="7">
        <f t="shared" si="5"/>
        <v>0</v>
      </c>
      <c r="R930" s="15"/>
      <c r="S930" s="15"/>
      <c r="U930" s="16"/>
      <c r="W930" s="16"/>
      <c r="X930" s="13"/>
      <c r="Y930" s="13"/>
    </row>
    <row r="931" ht="31.5" customHeight="1">
      <c r="D931" s="6" t="str">
        <f t="shared" si="1"/>
        <v/>
      </c>
      <c r="H931" s="7"/>
      <c r="K931" s="7">
        <f t="shared" si="2"/>
        <v>0</v>
      </c>
      <c r="N931" s="7">
        <f t="shared" si="3"/>
        <v>0</v>
      </c>
      <c r="O931" s="7">
        <f t="shared" si="4"/>
        <v>0</v>
      </c>
      <c r="P931" s="7">
        <f t="shared" si="5"/>
        <v>0</v>
      </c>
      <c r="R931" s="15"/>
      <c r="S931" s="15"/>
      <c r="U931" s="16"/>
      <c r="W931" s="16"/>
      <c r="X931" s="13"/>
      <c r="Y931" s="13"/>
    </row>
    <row r="932" ht="31.5" customHeight="1">
      <c r="D932" s="6" t="str">
        <f t="shared" si="1"/>
        <v/>
      </c>
      <c r="H932" s="7"/>
      <c r="K932" s="7">
        <f t="shared" si="2"/>
        <v>0</v>
      </c>
      <c r="N932" s="7">
        <f t="shared" si="3"/>
        <v>0</v>
      </c>
      <c r="O932" s="7">
        <f t="shared" si="4"/>
        <v>0</v>
      </c>
      <c r="P932" s="7">
        <f t="shared" si="5"/>
        <v>0</v>
      </c>
      <c r="R932" s="15"/>
      <c r="S932" s="15"/>
      <c r="U932" s="16"/>
      <c r="W932" s="16"/>
      <c r="X932" s="13"/>
      <c r="Y932" s="13"/>
    </row>
    <row r="933" ht="31.5" customHeight="1">
      <c r="D933" s="6" t="str">
        <f t="shared" si="1"/>
        <v/>
      </c>
      <c r="H933" s="7"/>
      <c r="K933" s="7">
        <f t="shared" si="2"/>
        <v>0</v>
      </c>
      <c r="N933" s="7">
        <f t="shared" si="3"/>
        <v>0</v>
      </c>
      <c r="O933" s="7">
        <f t="shared" si="4"/>
        <v>0</v>
      </c>
      <c r="P933" s="7">
        <f t="shared" si="5"/>
        <v>0</v>
      </c>
      <c r="R933" s="15"/>
      <c r="S933" s="15"/>
      <c r="U933" s="16"/>
      <c r="W933" s="16"/>
      <c r="X933" s="13"/>
      <c r="Y933" s="13"/>
    </row>
    <row r="934" ht="31.5" customHeight="1">
      <c r="D934" s="6" t="str">
        <f t="shared" si="1"/>
        <v/>
      </c>
      <c r="H934" s="7"/>
      <c r="K934" s="7">
        <f t="shared" si="2"/>
        <v>0</v>
      </c>
      <c r="N934" s="7">
        <f t="shared" si="3"/>
        <v>0</v>
      </c>
      <c r="O934" s="7">
        <f t="shared" si="4"/>
        <v>0</v>
      </c>
      <c r="P934" s="7">
        <f t="shared" si="5"/>
        <v>0</v>
      </c>
      <c r="R934" s="15"/>
      <c r="S934" s="15"/>
      <c r="U934" s="16"/>
      <c r="W934" s="16"/>
      <c r="X934" s="13"/>
      <c r="Y934" s="13"/>
    </row>
    <row r="935" ht="31.5" customHeight="1">
      <c r="D935" s="6" t="str">
        <f t="shared" si="1"/>
        <v/>
      </c>
      <c r="H935" s="7"/>
      <c r="K935" s="7">
        <f t="shared" si="2"/>
        <v>0</v>
      </c>
      <c r="N935" s="7">
        <f t="shared" si="3"/>
        <v>0</v>
      </c>
      <c r="O935" s="7">
        <f t="shared" si="4"/>
        <v>0</v>
      </c>
      <c r="P935" s="7">
        <f t="shared" si="5"/>
        <v>0</v>
      </c>
      <c r="R935" s="15"/>
      <c r="S935" s="15"/>
      <c r="U935" s="16"/>
      <c r="W935" s="16"/>
      <c r="X935" s="13"/>
      <c r="Y935" s="13"/>
    </row>
    <row r="936" ht="31.5" customHeight="1">
      <c r="D936" s="6" t="str">
        <f t="shared" si="1"/>
        <v/>
      </c>
      <c r="H936" s="7"/>
      <c r="K936" s="7">
        <f t="shared" si="2"/>
        <v>0</v>
      </c>
      <c r="N936" s="7">
        <f t="shared" si="3"/>
        <v>0</v>
      </c>
      <c r="O936" s="7">
        <f t="shared" si="4"/>
        <v>0</v>
      </c>
      <c r="P936" s="7">
        <f t="shared" si="5"/>
        <v>0</v>
      </c>
      <c r="R936" s="15"/>
      <c r="S936" s="15"/>
      <c r="U936" s="16"/>
      <c r="W936" s="16"/>
      <c r="X936" s="13"/>
      <c r="Y936" s="13"/>
    </row>
    <row r="937" ht="31.5" customHeight="1">
      <c r="D937" s="6" t="str">
        <f t="shared" si="1"/>
        <v/>
      </c>
      <c r="H937" s="7"/>
      <c r="K937" s="7">
        <f t="shared" si="2"/>
        <v>0</v>
      </c>
      <c r="N937" s="7">
        <f t="shared" si="3"/>
        <v>0</v>
      </c>
      <c r="O937" s="7">
        <f t="shared" si="4"/>
        <v>0</v>
      </c>
      <c r="P937" s="7">
        <f t="shared" si="5"/>
        <v>0</v>
      </c>
      <c r="R937" s="15"/>
      <c r="S937" s="15"/>
      <c r="U937" s="16"/>
      <c r="W937" s="16"/>
      <c r="X937" s="13"/>
      <c r="Y937" s="13"/>
    </row>
    <row r="938" ht="31.5" customHeight="1">
      <c r="D938" s="6" t="str">
        <f t="shared" si="1"/>
        <v/>
      </c>
      <c r="H938" s="7"/>
      <c r="K938" s="7">
        <f t="shared" si="2"/>
        <v>0</v>
      </c>
      <c r="N938" s="7">
        <f t="shared" si="3"/>
        <v>0</v>
      </c>
      <c r="O938" s="7">
        <f t="shared" si="4"/>
        <v>0</v>
      </c>
      <c r="P938" s="7">
        <f t="shared" si="5"/>
        <v>0</v>
      </c>
      <c r="R938" s="15"/>
      <c r="S938" s="15"/>
      <c r="U938" s="16"/>
      <c r="W938" s="16"/>
      <c r="X938" s="13"/>
      <c r="Y938" s="13"/>
    </row>
    <row r="939" ht="31.5" customHeight="1">
      <c r="D939" s="6" t="str">
        <f t="shared" si="1"/>
        <v/>
      </c>
      <c r="H939" s="7"/>
      <c r="K939" s="7">
        <f t="shared" si="2"/>
        <v>0</v>
      </c>
      <c r="N939" s="7">
        <f t="shared" si="3"/>
        <v>0</v>
      </c>
      <c r="O939" s="7">
        <f t="shared" si="4"/>
        <v>0</v>
      </c>
      <c r="P939" s="7">
        <f t="shared" si="5"/>
        <v>0</v>
      </c>
      <c r="R939" s="15"/>
      <c r="S939" s="15"/>
      <c r="U939" s="16"/>
      <c r="W939" s="16"/>
      <c r="X939" s="13"/>
      <c r="Y939" s="13"/>
    </row>
    <row r="940" ht="31.5" customHeight="1">
      <c r="D940" s="6" t="str">
        <f t="shared" si="1"/>
        <v/>
      </c>
      <c r="H940" s="7"/>
      <c r="K940" s="7">
        <f t="shared" si="2"/>
        <v>0</v>
      </c>
      <c r="N940" s="7">
        <f t="shared" si="3"/>
        <v>0</v>
      </c>
      <c r="O940" s="7">
        <f t="shared" si="4"/>
        <v>0</v>
      </c>
      <c r="P940" s="7">
        <f t="shared" si="5"/>
        <v>0</v>
      </c>
      <c r="R940" s="15"/>
      <c r="S940" s="15"/>
      <c r="U940" s="16"/>
      <c r="W940" s="16"/>
      <c r="X940" s="13"/>
      <c r="Y940" s="13"/>
    </row>
    <row r="941" ht="31.5" customHeight="1">
      <c r="D941" s="6" t="str">
        <f t="shared" si="1"/>
        <v/>
      </c>
      <c r="H941" s="7"/>
      <c r="K941" s="7">
        <f t="shared" si="2"/>
        <v>0</v>
      </c>
      <c r="N941" s="7">
        <f t="shared" si="3"/>
        <v>0</v>
      </c>
      <c r="O941" s="7">
        <f t="shared" si="4"/>
        <v>0</v>
      </c>
      <c r="P941" s="7">
        <f t="shared" si="5"/>
        <v>0</v>
      </c>
      <c r="R941" s="15"/>
      <c r="S941" s="15"/>
      <c r="U941" s="16"/>
      <c r="W941" s="16"/>
      <c r="X941" s="13"/>
      <c r="Y941" s="13"/>
    </row>
    <row r="942" ht="31.5" customHeight="1">
      <c r="D942" s="6" t="str">
        <f t="shared" si="1"/>
        <v/>
      </c>
      <c r="H942" s="7"/>
      <c r="K942" s="7">
        <f t="shared" si="2"/>
        <v>0</v>
      </c>
      <c r="N942" s="7">
        <f t="shared" si="3"/>
        <v>0</v>
      </c>
      <c r="O942" s="7">
        <f t="shared" si="4"/>
        <v>0</v>
      </c>
      <c r="P942" s="7">
        <f t="shared" si="5"/>
        <v>0</v>
      </c>
      <c r="R942" s="15"/>
      <c r="S942" s="15"/>
      <c r="U942" s="16"/>
      <c r="W942" s="16"/>
      <c r="X942" s="13"/>
      <c r="Y942" s="13"/>
    </row>
    <row r="943" ht="31.5" customHeight="1">
      <c r="D943" s="6" t="str">
        <f t="shared" si="1"/>
        <v/>
      </c>
      <c r="H943" s="7"/>
      <c r="K943" s="7">
        <f t="shared" si="2"/>
        <v>0</v>
      </c>
      <c r="N943" s="7">
        <f t="shared" si="3"/>
        <v>0</v>
      </c>
      <c r="O943" s="7">
        <f t="shared" si="4"/>
        <v>0</v>
      </c>
      <c r="P943" s="7">
        <f t="shared" si="5"/>
        <v>0</v>
      </c>
      <c r="R943" s="15"/>
      <c r="S943" s="15"/>
      <c r="U943" s="16"/>
      <c r="W943" s="16"/>
      <c r="X943" s="13"/>
      <c r="Y943" s="13"/>
    </row>
    <row r="944" ht="31.5" customHeight="1">
      <c r="D944" s="6" t="str">
        <f t="shared" si="1"/>
        <v/>
      </c>
      <c r="H944" s="7"/>
      <c r="K944" s="7">
        <f t="shared" si="2"/>
        <v>0</v>
      </c>
      <c r="N944" s="7">
        <f t="shared" si="3"/>
        <v>0</v>
      </c>
      <c r="O944" s="7">
        <f t="shared" si="4"/>
        <v>0</v>
      </c>
      <c r="P944" s="7">
        <f t="shared" si="5"/>
        <v>0</v>
      </c>
      <c r="R944" s="15"/>
      <c r="S944" s="15"/>
      <c r="U944" s="16"/>
      <c r="W944" s="16"/>
      <c r="X944" s="13"/>
      <c r="Y944" s="13"/>
    </row>
    <row r="945" ht="31.5" customHeight="1">
      <c r="D945" s="6" t="str">
        <f t="shared" si="1"/>
        <v/>
      </c>
      <c r="H945" s="7"/>
      <c r="K945" s="7">
        <f t="shared" si="2"/>
        <v>0</v>
      </c>
      <c r="N945" s="7">
        <f t="shared" si="3"/>
        <v>0</v>
      </c>
      <c r="O945" s="7">
        <f t="shared" si="4"/>
        <v>0</v>
      </c>
      <c r="P945" s="7">
        <f t="shared" si="5"/>
        <v>0</v>
      </c>
      <c r="R945" s="15"/>
      <c r="S945" s="15"/>
      <c r="U945" s="16"/>
      <c r="W945" s="16"/>
      <c r="X945" s="13"/>
      <c r="Y945" s="13"/>
    </row>
    <row r="946" ht="31.5" customHeight="1">
      <c r="D946" s="6" t="str">
        <f t="shared" si="1"/>
        <v/>
      </c>
      <c r="H946" s="7"/>
      <c r="K946" s="7">
        <f t="shared" si="2"/>
        <v>0</v>
      </c>
      <c r="N946" s="7">
        <f t="shared" si="3"/>
        <v>0</v>
      </c>
      <c r="O946" s="7">
        <f t="shared" si="4"/>
        <v>0</v>
      </c>
      <c r="P946" s="7">
        <f t="shared" si="5"/>
        <v>0</v>
      </c>
      <c r="R946" s="15"/>
      <c r="S946" s="15"/>
      <c r="U946" s="16"/>
      <c r="W946" s="16"/>
      <c r="X946" s="13"/>
      <c r="Y946" s="13"/>
    </row>
    <row r="947" ht="31.5" customHeight="1">
      <c r="D947" s="6" t="str">
        <f t="shared" si="1"/>
        <v/>
      </c>
      <c r="H947" s="7"/>
      <c r="K947" s="7">
        <f t="shared" si="2"/>
        <v>0</v>
      </c>
      <c r="N947" s="7">
        <f t="shared" si="3"/>
        <v>0</v>
      </c>
      <c r="O947" s="7">
        <f t="shared" si="4"/>
        <v>0</v>
      </c>
      <c r="P947" s="7">
        <f t="shared" si="5"/>
        <v>0</v>
      </c>
      <c r="R947" s="15"/>
      <c r="S947" s="15"/>
      <c r="U947" s="16"/>
      <c r="W947" s="16"/>
      <c r="X947" s="13"/>
      <c r="Y947" s="13"/>
    </row>
    <row r="948" ht="31.5" customHeight="1">
      <c r="D948" s="6" t="str">
        <f t="shared" si="1"/>
        <v/>
      </c>
      <c r="H948" s="7"/>
      <c r="K948" s="7">
        <f t="shared" si="2"/>
        <v>0</v>
      </c>
      <c r="N948" s="7">
        <f t="shared" si="3"/>
        <v>0</v>
      </c>
      <c r="O948" s="7">
        <f t="shared" si="4"/>
        <v>0</v>
      </c>
      <c r="P948" s="7">
        <f t="shared" si="5"/>
        <v>0</v>
      </c>
      <c r="R948" s="15"/>
      <c r="S948" s="15"/>
      <c r="U948" s="16"/>
      <c r="W948" s="16"/>
      <c r="X948" s="13"/>
      <c r="Y948" s="13"/>
    </row>
    <row r="949" ht="31.5" customHeight="1">
      <c r="D949" s="6" t="str">
        <f t="shared" si="1"/>
        <v/>
      </c>
      <c r="H949" s="7"/>
      <c r="K949" s="7">
        <f t="shared" si="2"/>
        <v>0</v>
      </c>
      <c r="N949" s="7">
        <f t="shared" si="3"/>
        <v>0</v>
      </c>
      <c r="O949" s="7">
        <f t="shared" si="4"/>
        <v>0</v>
      </c>
      <c r="P949" s="7">
        <f t="shared" si="5"/>
        <v>0</v>
      </c>
      <c r="R949" s="15"/>
      <c r="S949" s="15"/>
      <c r="U949" s="16"/>
      <c r="W949" s="16"/>
      <c r="X949" s="13"/>
      <c r="Y949" s="13"/>
    </row>
    <row r="950" ht="31.5" customHeight="1">
      <c r="D950" s="6" t="str">
        <f t="shared" si="1"/>
        <v/>
      </c>
      <c r="H950" s="7"/>
      <c r="K950" s="7">
        <f t="shared" si="2"/>
        <v>0</v>
      </c>
      <c r="N950" s="7">
        <f t="shared" si="3"/>
        <v>0</v>
      </c>
      <c r="O950" s="7">
        <f t="shared" si="4"/>
        <v>0</v>
      </c>
      <c r="P950" s="7">
        <f t="shared" si="5"/>
        <v>0</v>
      </c>
      <c r="R950" s="15"/>
      <c r="S950" s="15"/>
      <c r="U950" s="16"/>
      <c r="W950" s="16"/>
      <c r="X950" s="13"/>
      <c r="Y950" s="13"/>
    </row>
    <row r="951" ht="31.5" customHeight="1">
      <c r="D951" s="6" t="str">
        <f t="shared" si="1"/>
        <v/>
      </c>
      <c r="H951" s="7"/>
      <c r="K951" s="7">
        <f t="shared" si="2"/>
        <v>0</v>
      </c>
      <c r="N951" s="7">
        <f t="shared" si="3"/>
        <v>0</v>
      </c>
      <c r="O951" s="7">
        <f t="shared" si="4"/>
        <v>0</v>
      </c>
      <c r="P951" s="7">
        <f t="shared" si="5"/>
        <v>0</v>
      </c>
      <c r="R951" s="15"/>
      <c r="S951" s="15"/>
      <c r="U951" s="16"/>
      <c r="W951" s="16"/>
      <c r="X951" s="13"/>
      <c r="Y951" s="13"/>
    </row>
    <row r="952" ht="31.5" customHeight="1">
      <c r="D952" s="6" t="str">
        <f t="shared" si="1"/>
        <v/>
      </c>
      <c r="H952" s="7"/>
      <c r="K952" s="7">
        <f t="shared" si="2"/>
        <v>0</v>
      </c>
      <c r="N952" s="7">
        <f t="shared" si="3"/>
        <v>0</v>
      </c>
      <c r="O952" s="7">
        <f t="shared" si="4"/>
        <v>0</v>
      </c>
      <c r="P952" s="7">
        <f t="shared" si="5"/>
        <v>0</v>
      </c>
      <c r="R952" s="15"/>
      <c r="S952" s="15"/>
      <c r="U952" s="16"/>
      <c r="W952" s="16"/>
      <c r="X952" s="13"/>
      <c r="Y952" s="13"/>
    </row>
    <row r="953" ht="31.5" customHeight="1">
      <c r="D953" s="6" t="str">
        <f t="shared" si="1"/>
        <v/>
      </c>
      <c r="H953" s="7"/>
      <c r="K953" s="7">
        <f t="shared" si="2"/>
        <v>0</v>
      </c>
      <c r="N953" s="7">
        <f t="shared" si="3"/>
        <v>0</v>
      </c>
      <c r="O953" s="7">
        <f t="shared" si="4"/>
        <v>0</v>
      </c>
      <c r="P953" s="7">
        <f t="shared" si="5"/>
        <v>0</v>
      </c>
      <c r="R953" s="15"/>
      <c r="S953" s="15"/>
      <c r="U953" s="16"/>
      <c r="W953" s="16"/>
      <c r="X953" s="13"/>
      <c r="Y953" s="13"/>
    </row>
    <row r="954" ht="31.5" customHeight="1">
      <c r="D954" s="6" t="str">
        <f t="shared" si="1"/>
        <v/>
      </c>
      <c r="H954" s="7"/>
      <c r="K954" s="7">
        <f t="shared" si="2"/>
        <v>0</v>
      </c>
      <c r="N954" s="7">
        <f t="shared" si="3"/>
        <v>0</v>
      </c>
      <c r="O954" s="7">
        <f t="shared" si="4"/>
        <v>0</v>
      </c>
      <c r="P954" s="7">
        <f t="shared" si="5"/>
        <v>0</v>
      </c>
      <c r="R954" s="15"/>
      <c r="S954" s="15"/>
      <c r="U954" s="16"/>
      <c r="W954" s="16"/>
      <c r="X954" s="13"/>
      <c r="Y954" s="13"/>
    </row>
    <row r="955" ht="31.5" customHeight="1">
      <c r="D955" s="6" t="str">
        <f t="shared" si="1"/>
        <v/>
      </c>
      <c r="H955" s="7"/>
      <c r="K955" s="7">
        <f t="shared" si="2"/>
        <v>0</v>
      </c>
      <c r="N955" s="7">
        <f t="shared" si="3"/>
        <v>0</v>
      </c>
      <c r="O955" s="7">
        <f t="shared" si="4"/>
        <v>0</v>
      </c>
      <c r="P955" s="7">
        <f t="shared" si="5"/>
        <v>0</v>
      </c>
      <c r="R955" s="15"/>
      <c r="S955" s="15"/>
      <c r="U955" s="16"/>
      <c r="W955" s="16"/>
      <c r="X955" s="13"/>
      <c r="Y955" s="13"/>
    </row>
    <row r="956" ht="31.5" customHeight="1">
      <c r="D956" s="6" t="str">
        <f t="shared" si="1"/>
        <v/>
      </c>
      <c r="H956" s="7"/>
      <c r="K956" s="7">
        <f t="shared" si="2"/>
        <v>0</v>
      </c>
      <c r="N956" s="7">
        <f t="shared" si="3"/>
        <v>0</v>
      </c>
      <c r="O956" s="7">
        <f t="shared" si="4"/>
        <v>0</v>
      </c>
      <c r="P956" s="7">
        <f t="shared" si="5"/>
        <v>0</v>
      </c>
      <c r="R956" s="15"/>
      <c r="S956" s="15"/>
      <c r="U956" s="16"/>
      <c r="W956" s="16"/>
      <c r="X956" s="13"/>
      <c r="Y956" s="13"/>
    </row>
    <row r="957" ht="31.5" customHeight="1">
      <c r="D957" s="6" t="str">
        <f t="shared" si="1"/>
        <v/>
      </c>
      <c r="H957" s="7"/>
      <c r="K957" s="7">
        <f t="shared" si="2"/>
        <v>0</v>
      </c>
      <c r="N957" s="7">
        <f t="shared" si="3"/>
        <v>0</v>
      </c>
      <c r="O957" s="7">
        <f t="shared" si="4"/>
        <v>0</v>
      </c>
      <c r="P957" s="7">
        <f t="shared" si="5"/>
        <v>0</v>
      </c>
      <c r="R957" s="15"/>
      <c r="S957" s="15"/>
      <c r="U957" s="16"/>
      <c r="W957" s="16"/>
      <c r="X957" s="13"/>
      <c r="Y957" s="13"/>
    </row>
    <row r="958" ht="31.5" customHeight="1">
      <c r="D958" s="6" t="str">
        <f t="shared" si="1"/>
        <v/>
      </c>
      <c r="H958" s="7"/>
      <c r="K958" s="7">
        <f t="shared" si="2"/>
        <v>0</v>
      </c>
      <c r="N958" s="7">
        <f t="shared" si="3"/>
        <v>0</v>
      </c>
      <c r="O958" s="7">
        <f t="shared" si="4"/>
        <v>0</v>
      </c>
      <c r="P958" s="7">
        <f t="shared" si="5"/>
        <v>0</v>
      </c>
      <c r="R958" s="15"/>
      <c r="S958" s="15"/>
      <c r="U958" s="16"/>
      <c r="W958" s="16"/>
      <c r="X958" s="13"/>
      <c r="Y958" s="13"/>
    </row>
    <row r="959" ht="31.5" customHeight="1">
      <c r="D959" s="6" t="str">
        <f t="shared" si="1"/>
        <v/>
      </c>
      <c r="H959" s="7"/>
      <c r="K959" s="7">
        <f t="shared" si="2"/>
        <v>0</v>
      </c>
      <c r="N959" s="7">
        <f t="shared" si="3"/>
        <v>0</v>
      </c>
      <c r="O959" s="7">
        <f t="shared" si="4"/>
        <v>0</v>
      </c>
      <c r="P959" s="7">
        <f t="shared" si="5"/>
        <v>0</v>
      </c>
      <c r="R959" s="15"/>
      <c r="S959" s="15"/>
      <c r="U959" s="16"/>
      <c r="W959" s="16"/>
      <c r="X959" s="13"/>
      <c r="Y959" s="13"/>
    </row>
    <row r="960" ht="31.5" customHeight="1">
      <c r="D960" s="6" t="str">
        <f t="shared" si="1"/>
        <v/>
      </c>
      <c r="H960" s="7"/>
      <c r="K960" s="7">
        <f t="shared" si="2"/>
        <v>0</v>
      </c>
      <c r="N960" s="7">
        <f t="shared" si="3"/>
        <v>0</v>
      </c>
      <c r="O960" s="7">
        <f t="shared" si="4"/>
        <v>0</v>
      </c>
      <c r="P960" s="7">
        <f t="shared" si="5"/>
        <v>0</v>
      </c>
      <c r="R960" s="15"/>
      <c r="S960" s="15"/>
      <c r="U960" s="16"/>
      <c r="W960" s="16"/>
      <c r="X960" s="13"/>
      <c r="Y960" s="13"/>
    </row>
    <row r="961" ht="31.5" customHeight="1">
      <c r="D961" s="6" t="str">
        <f t="shared" si="1"/>
        <v/>
      </c>
      <c r="H961" s="7"/>
      <c r="K961" s="7">
        <f t="shared" si="2"/>
        <v>0</v>
      </c>
      <c r="N961" s="7">
        <f t="shared" si="3"/>
        <v>0</v>
      </c>
      <c r="O961" s="7">
        <f t="shared" si="4"/>
        <v>0</v>
      </c>
      <c r="P961" s="7">
        <f t="shared" si="5"/>
        <v>0</v>
      </c>
      <c r="R961" s="15"/>
      <c r="S961" s="15"/>
      <c r="U961" s="16"/>
      <c r="W961" s="16"/>
      <c r="X961" s="13"/>
      <c r="Y961" s="13"/>
    </row>
    <row r="962" ht="31.5" customHeight="1">
      <c r="D962" s="6" t="str">
        <f t="shared" si="1"/>
        <v/>
      </c>
      <c r="H962" s="7"/>
      <c r="K962" s="7">
        <f t="shared" si="2"/>
        <v>0</v>
      </c>
      <c r="N962" s="7">
        <f t="shared" si="3"/>
        <v>0</v>
      </c>
      <c r="O962" s="7">
        <f t="shared" si="4"/>
        <v>0</v>
      </c>
      <c r="P962" s="7">
        <f t="shared" si="5"/>
        <v>0</v>
      </c>
      <c r="R962" s="15"/>
      <c r="S962" s="15"/>
      <c r="U962" s="16"/>
      <c r="W962" s="16"/>
      <c r="X962" s="13"/>
      <c r="Y962" s="13"/>
    </row>
    <row r="963" ht="31.5" customHeight="1">
      <c r="D963" s="6" t="str">
        <f t="shared" si="1"/>
        <v/>
      </c>
      <c r="H963" s="7"/>
      <c r="K963" s="7">
        <f t="shared" si="2"/>
        <v>0</v>
      </c>
      <c r="N963" s="7">
        <f t="shared" si="3"/>
        <v>0</v>
      </c>
      <c r="O963" s="7">
        <f t="shared" si="4"/>
        <v>0</v>
      </c>
      <c r="P963" s="7">
        <f t="shared" si="5"/>
        <v>0</v>
      </c>
      <c r="R963" s="15"/>
      <c r="S963" s="15"/>
      <c r="U963" s="16"/>
      <c r="W963" s="16"/>
      <c r="X963" s="13"/>
      <c r="Y963" s="13"/>
    </row>
    <row r="964" ht="31.5" customHeight="1">
      <c r="D964" s="6" t="str">
        <f t="shared" si="1"/>
        <v/>
      </c>
      <c r="H964" s="7"/>
      <c r="K964" s="7">
        <f t="shared" si="2"/>
        <v>0</v>
      </c>
      <c r="N964" s="7">
        <f t="shared" si="3"/>
        <v>0</v>
      </c>
      <c r="O964" s="7">
        <f t="shared" si="4"/>
        <v>0</v>
      </c>
      <c r="P964" s="7">
        <f t="shared" si="5"/>
        <v>0</v>
      </c>
      <c r="R964" s="15"/>
      <c r="S964" s="15"/>
      <c r="U964" s="16"/>
      <c r="W964" s="16"/>
      <c r="X964" s="13"/>
      <c r="Y964" s="13"/>
    </row>
    <row r="965" ht="31.5" customHeight="1">
      <c r="D965" s="6" t="str">
        <f t="shared" si="1"/>
        <v/>
      </c>
      <c r="H965" s="7"/>
      <c r="K965" s="7">
        <f t="shared" si="2"/>
        <v>0</v>
      </c>
      <c r="N965" s="7">
        <f t="shared" si="3"/>
        <v>0</v>
      </c>
      <c r="O965" s="7">
        <f t="shared" si="4"/>
        <v>0</v>
      </c>
      <c r="P965" s="7">
        <f t="shared" si="5"/>
        <v>0</v>
      </c>
      <c r="R965" s="15"/>
      <c r="S965" s="15"/>
      <c r="U965" s="16"/>
      <c r="W965" s="16"/>
      <c r="X965" s="13"/>
      <c r="Y965" s="13"/>
    </row>
    <row r="966" ht="31.5" customHeight="1">
      <c r="D966" s="6" t="str">
        <f t="shared" si="1"/>
        <v/>
      </c>
      <c r="H966" s="7"/>
      <c r="K966" s="7">
        <f t="shared" si="2"/>
        <v>0</v>
      </c>
      <c r="N966" s="7">
        <f t="shared" si="3"/>
        <v>0</v>
      </c>
      <c r="O966" s="7">
        <f t="shared" si="4"/>
        <v>0</v>
      </c>
      <c r="P966" s="7">
        <f t="shared" si="5"/>
        <v>0</v>
      </c>
      <c r="R966" s="15"/>
      <c r="S966" s="15"/>
      <c r="U966" s="16"/>
      <c r="W966" s="16"/>
      <c r="X966" s="13"/>
      <c r="Y966" s="13"/>
    </row>
    <row r="967" ht="31.5" customHeight="1">
      <c r="D967" s="6" t="str">
        <f t="shared" si="1"/>
        <v/>
      </c>
      <c r="H967" s="7"/>
      <c r="K967" s="7">
        <f t="shared" si="2"/>
        <v>0</v>
      </c>
      <c r="N967" s="7">
        <f t="shared" si="3"/>
        <v>0</v>
      </c>
      <c r="O967" s="7">
        <f t="shared" si="4"/>
        <v>0</v>
      </c>
      <c r="P967" s="7">
        <f t="shared" si="5"/>
        <v>0</v>
      </c>
      <c r="R967" s="15"/>
      <c r="S967" s="15"/>
      <c r="U967" s="16"/>
      <c r="W967" s="16"/>
      <c r="X967" s="13"/>
      <c r="Y967" s="13"/>
    </row>
    <row r="968" ht="31.5" customHeight="1">
      <c r="D968" s="6" t="str">
        <f t="shared" si="1"/>
        <v/>
      </c>
      <c r="H968" s="7"/>
      <c r="K968" s="7">
        <f t="shared" si="2"/>
        <v>0</v>
      </c>
      <c r="N968" s="7">
        <f t="shared" si="3"/>
        <v>0</v>
      </c>
      <c r="O968" s="7">
        <f t="shared" si="4"/>
        <v>0</v>
      </c>
      <c r="P968" s="7">
        <f t="shared" si="5"/>
        <v>0</v>
      </c>
      <c r="R968" s="15"/>
      <c r="S968" s="15"/>
      <c r="U968" s="16"/>
      <c r="W968" s="16"/>
      <c r="X968" s="13"/>
      <c r="Y968" s="13"/>
    </row>
    <row r="969" ht="31.5" customHeight="1">
      <c r="D969" s="6" t="str">
        <f t="shared" si="1"/>
        <v/>
      </c>
      <c r="H969" s="7"/>
      <c r="K969" s="7">
        <f t="shared" si="2"/>
        <v>0</v>
      </c>
      <c r="N969" s="7">
        <f t="shared" si="3"/>
        <v>0</v>
      </c>
      <c r="O969" s="7">
        <f t="shared" si="4"/>
        <v>0</v>
      </c>
      <c r="P969" s="7">
        <f t="shared" si="5"/>
        <v>0</v>
      </c>
      <c r="R969" s="15"/>
      <c r="S969" s="15"/>
      <c r="U969" s="16"/>
      <c r="W969" s="16"/>
      <c r="X969" s="13"/>
      <c r="Y969" s="13"/>
    </row>
    <row r="970" ht="31.5" customHeight="1">
      <c r="D970" s="6" t="str">
        <f t="shared" si="1"/>
        <v/>
      </c>
      <c r="H970" s="7"/>
      <c r="K970" s="7">
        <f t="shared" si="2"/>
        <v>0</v>
      </c>
      <c r="N970" s="7">
        <f t="shared" si="3"/>
        <v>0</v>
      </c>
      <c r="O970" s="7">
        <f t="shared" si="4"/>
        <v>0</v>
      </c>
      <c r="P970" s="7">
        <f t="shared" si="5"/>
        <v>0</v>
      </c>
      <c r="R970" s="15"/>
      <c r="S970" s="15"/>
      <c r="U970" s="16"/>
      <c r="W970" s="16"/>
      <c r="X970" s="13"/>
      <c r="Y970" s="13"/>
    </row>
    <row r="971" ht="31.5" customHeight="1">
      <c r="D971" s="6" t="str">
        <f t="shared" si="1"/>
        <v/>
      </c>
      <c r="H971" s="7"/>
      <c r="K971" s="7">
        <f t="shared" si="2"/>
        <v>0</v>
      </c>
      <c r="N971" s="7">
        <f t="shared" si="3"/>
        <v>0</v>
      </c>
      <c r="O971" s="7">
        <f t="shared" si="4"/>
        <v>0</v>
      </c>
      <c r="P971" s="7">
        <f t="shared" si="5"/>
        <v>0</v>
      </c>
      <c r="R971" s="15"/>
      <c r="S971" s="15"/>
      <c r="U971" s="16"/>
      <c r="W971" s="16"/>
      <c r="X971" s="13"/>
      <c r="Y971" s="13"/>
    </row>
    <row r="972" ht="31.5" customHeight="1">
      <c r="D972" s="6" t="str">
        <f t="shared" si="1"/>
        <v/>
      </c>
      <c r="H972" s="7"/>
      <c r="K972" s="7">
        <f t="shared" si="2"/>
        <v>0</v>
      </c>
      <c r="N972" s="7">
        <f t="shared" si="3"/>
        <v>0</v>
      </c>
      <c r="O972" s="7">
        <f t="shared" si="4"/>
        <v>0</v>
      </c>
      <c r="P972" s="7">
        <f t="shared" si="5"/>
        <v>0</v>
      </c>
      <c r="R972" s="15"/>
      <c r="S972" s="15"/>
      <c r="U972" s="16"/>
      <c r="W972" s="16"/>
      <c r="X972" s="13"/>
      <c r="Y972" s="13"/>
    </row>
    <row r="973" ht="31.5" customHeight="1">
      <c r="D973" s="6" t="str">
        <f t="shared" si="1"/>
        <v/>
      </c>
      <c r="H973" s="7"/>
      <c r="K973" s="7">
        <f t="shared" si="2"/>
        <v>0</v>
      </c>
      <c r="N973" s="7">
        <f t="shared" si="3"/>
        <v>0</v>
      </c>
      <c r="O973" s="7">
        <f t="shared" si="4"/>
        <v>0</v>
      </c>
      <c r="P973" s="7">
        <f t="shared" si="5"/>
        <v>0</v>
      </c>
      <c r="R973" s="15"/>
      <c r="S973" s="15"/>
      <c r="U973" s="16"/>
      <c r="W973" s="16"/>
      <c r="X973" s="13"/>
      <c r="Y973" s="13"/>
    </row>
    <row r="974" ht="31.5" customHeight="1">
      <c r="D974" s="6" t="str">
        <f t="shared" si="1"/>
        <v/>
      </c>
      <c r="H974" s="7"/>
      <c r="K974" s="7">
        <f t="shared" si="2"/>
        <v>0</v>
      </c>
      <c r="N974" s="7">
        <f t="shared" si="3"/>
        <v>0</v>
      </c>
      <c r="O974" s="7">
        <f t="shared" si="4"/>
        <v>0</v>
      </c>
      <c r="P974" s="7">
        <f t="shared" si="5"/>
        <v>0</v>
      </c>
      <c r="R974" s="15"/>
      <c r="S974" s="15"/>
      <c r="U974" s="16"/>
      <c r="W974" s="16"/>
      <c r="X974" s="13"/>
      <c r="Y974" s="13"/>
    </row>
    <row r="975" ht="31.5" customHeight="1">
      <c r="D975" s="6" t="str">
        <f t="shared" si="1"/>
        <v/>
      </c>
      <c r="H975" s="7"/>
      <c r="K975" s="7">
        <f t="shared" si="2"/>
        <v>0</v>
      </c>
      <c r="N975" s="7">
        <f t="shared" si="3"/>
        <v>0</v>
      </c>
      <c r="O975" s="7">
        <f t="shared" si="4"/>
        <v>0</v>
      </c>
      <c r="P975" s="7">
        <f t="shared" si="5"/>
        <v>0</v>
      </c>
      <c r="R975" s="15"/>
      <c r="S975" s="15"/>
      <c r="U975" s="16"/>
      <c r="W975" s="16"/>
      <c r="X975" s="13"/>
      <c r="Y975" s="13"/>
    </row>
    <row r="976" ht="31.5" customHeight="1">
      <c r="D976" s="6" t="str">
        <f t="shared" si="1"/>
        <v/>
      </c>
      <c r="H976" s="7"/>
      <c r="K976" s="7">
        <f t="shared" si="2"/>
        <v>0</v>
      </c>
      <c r="N976" s="7">
        <f t="shared" si="3"/>
        <v>0</v>
      </c>
      <c r="O976" s="7">
        <f t="shared" si="4"/>
        <v>0</v>
      </c>
      <c r="P976" s="7">
        <f t="shared" si="5"/>
        <v>0</v>
      </c>
      <c r="R976" s="15"/>
      <c r="S976" s="15"/>
      <c r="U976" s="16"/>
      <c r="W976" s="16"/>
      <c r="X976" s="13"/>
      <c r="Y976" s="13"/>
    </row>
    <row r="977" ht="31.5" customHeight="1">
      <c r="D977" s="6" t="str">
        <f t="shared" si="1"/>
        <v/>
      </c>
      <c r="H977" s="7"/>
      <c r="K977" s="7">
        <f t="shared" si="2"/>
        <v>0</v>
      </c>
      <c r="N977" s="7">
        <f t="shared" si="3"/>
        <v>0</v>
      </c>
      <c r="O977" s="7">
        <f t="shared" si="4"/>
        <v>0</v>
      </c>
      <c r="P977" s="7">
        <f t="shared" si="5"/>
        <v>0</v>
      </c>
      <c r="R977" s="15"/>
      <c r="S977" s="15"/>
      <c r="U977" s="16"/>
      <c r="W977" s="16"/>
      <c r="X977" s="13"/>
      <c r="Y977" s="13"/>
    </row>
    <row r="978" ht="31.5" customHeight="1">
      <c r="D978" s="6" t="str">
        <f t="shared" si="1"/>
        <v/>
      </c>
      <c r="H978" s="7"/>
      <c r="K978" s="7">
        <f t="shared" si="2"/>
        <v>0</v>
      </c>
      <c r="N978" s="7">
        <f t="shared" si="3"/>
        <v>0</v>
      </c>
      <c r="O978" s="7">
        <f t="shared" si="4"/>
        <v>0</v>
      </c>
      <c r="P978" s="7">
        <f t="shared" si="5"/>
        <v>0</v>
      </c>
      <c r="R978" s="15"/>
      <c r="S978" s="15"/>
      <c r="U978" s="16"/>
      <c r="W978" s="16"/>
      <c r="X978" s="13"/>
      <c r="Y978" s="13"/>
    </row>
    <row r="979" ht="31.5" customHeight="1">
      <c r="D979" s="6" t="str">
        <f t="shared" si="1"/>
        <v/>
      </c>
      <c r="H979" s="7"/>
      <c r="K979" s="7">
        <f t="shared" si="2"/>
        <v>0</v>
      </c>
      <c r="N979" s="7">
        <f t="shared" si="3"/>
        <v>0</v>
      </c>
      <c r="O979" s="7">
        <f t="shared" si="4"/>
        <v>0</v>
      </c>
      <c r="P979" s="7">
        <f t="shared" si="5"/>
        <v>0</v>
      </c>
      <c r="R979" s="15"/>
      <c r="S979" s="15"/>
      <c r="U979" s="16"/>
      <c r="W979" s="16"/>
      <c r="X979" s="13"/>
      <c r="Y979" s="13"/>
    </row>
    <row r="980" ht="31.5" customHeight="1">
      <c r="D980" s="6" t="str">
        <f t="shared" si="1"/>
        <v/>
      </c>
      <c r="H980" s="7"/>
      <c r="K980" s="7">
        <f t="shared" si="2"/>
        <v>0</v>
      </c>
      <c r="N980" s="7">
        <f t="shared" si="3"/>
        <v>0</v>
      </c>
      <c r="O980" s="7">
        <f t="shared" si="4"/>
        <v>0</v>
      </c>
      <c r="P980" s="7">
        <f t="shared" si="5"/>
        <v>0</v>
      </c>
      <c r="R980" s="15"/>
      <c r="S980" s="15"/>
      <c r="U980" s="16"/>
      <c r="W980" s="16"/>
      <c r="X980" s="13"/>
      <c r="Y980" s="13"/>
    </row>
    <row r="981" ht="31.5" customHeight="1">
      <c r="D981" s="6" t="str">
        <f t="shared" si="1"/>
        <v/>
      </c>
      <c r="H981" s="7"/>
      <c r="K981" s="7">
        <f t="shared" si="2"/>
        <v>0</v>
      </c>
      <c r="N981" s="7">
        <f t="shared" si="3"/>
        <v>0</v>
      </c>
      <c r="O981" s="7">
        <f t="shared" si="4"/>
        <v>0</v>
      </c>
      <c r="P981" s="7">
        <f t="shared" si="5"/>
        <v>0</v>
      </c>
      <c r="R981" s="15"/>
      <c r="S981" s="15"/>
      <c r="U981" s="16"/>
      <c r="W981" s="16"/>
      <c r="X981" s="13"/>
      <c r="Y981" s="13"/>
    </row>
    <row r="982" ht="31.5" customHeight="1">
      <c r="D982" s="6" t="str">
        <f t="shared" si="1"/>
        <v/>
      </c>
      <c r="H982" s="7"/>
      <c r="K982" s="7">
        <f t="shared" si="2"/>
        <v>0</v>
      </c>
      <c r="N982" s="7">
        <f t="shared" si="3"/>
        <v>0</v>
      </c>
      <c r="O982" s="7">
        <f t="shared" si="4"/>
        <v>0</v>
      </c>
      <c r="P982" s="7">
        <f t="shared" si="5"/>
        <v>0</v>
      </c>
      <c r="R982" s="15"/>
      <c r="S982" s="15"/>
      <c r="U982" s="16"/>
      <c r="W982" s="16"/>
      <c r="X982" s="13"/>
      <c r="Y982" s="13"/>
    </row>
    <row r="983" ht="31.5" customHeight="1">
      <c r="D983" s="6" t="str">
        <f t="shared" si="1"/>
        <v/>
      </c>
      <c r="H983" s="7"/>
      <c r="K983" s="7">
        <f t="shared" si="2"/>
        <v>0</v>
      </c>
      <c r="N983" s="7">
        <f t="shared" si="3"/>
        <v>0</v>
      </c>
      <c r="O983" s="7">
        <f t="shared" si="4"/>
        <v>0</v>
      </c>
      <c r="P983" s="7">
        <f t="shared" si="5"/>
        <v>0</v>
      </c>
      <c r="R983" s="15"/>
      <c r="S983" s="15"/>
      <c r="U983" s="16"/>
      <c r="W983" s="16"/>
      <c r="X983" s="13"/>
      <c r="Y983" s="13"/>
    </row>
    <row r="984" ht="31.5" customHeight="1">
      <c r="D984" s="6" t="str">
        <f t="shared" si="1"/>
        <v/>
      </c>
      <c r="H984" s="7"/>
      <c r="K984" s="7">
        <f t="shared" si="2"/>
        <v>0</v>
      </c>
      <c r="N984" s="7">
        <f t="shared" si="3"/>
        <v>0</v>
      </c>
      <c r="O984" s="7">
        <f t="shared" si="4"/>
        <v>0</v>
      </c>
      <c r="P984" s="7">
        <f t="shared" si="5"/>
        <v>0</v>
      </c>
      <c r="R984" s="15"/>
      <c r="S984" s="15"/>
      <c r="U984" s="16"/>
      <c r="W984" s="16"/>
      <c r="X984" s="13"/>
      <c r="Y984" s="13"/>
    </row>
    <row r="985" ht="31.5" customHeight="1">
      <c r="D985" s="6" t="str">
        <f t="shared" si="1"/>
        <v/>
      </c>
      <c r="H985" s="7"/>
      <c r="K985" s="7">
        <f t="shared" si="2"/>
        <v>0</v>
      </c>
      <c r="N985" s="7">
        <f t="shared" si="3"/>
        <v>0</v>
      </c>
      <c r="O985" s="7">
        <f t="shared" si="4"/>
        <v>0</v>
      </c>
      <c r="P985" s="7">
        <f t="shared" si="5"/>
        <v>0</v>
      </c>
      <c r="R985" s="15"/>
      <c r="S985" s="15"/>
      <c r="U985" s="16"/>
      <c r="W985" s="16"/>
      <c r="X985" s="13"/>
      <c r="Y985" s="13"/>
    </row>
    <row r="986" ht="31.5" customHeight="1">
      <c r="D986" s="6" t="str">
        <f t="shared" si="1"/>
        <v/>
      </c>
      <c r="H986" s="7"/>
      <c r="K986" s="7">
        <f t="shared" si="2"/>
        <v>0</v>
      </c>
      <c r="N986" s="7">
        <f t="shared" si="3"/>
        <v>0</v>
      </c>
      <c r="O986" s="7">
        <f t="shared" si="4"/>
        <v>0</v>
      </c>
      <c r="P986" s="7">
        <f t="shared" si="5"/>
        <v>0</v>
      </c>
      <c r="R986" s="15"/>
      <c r="S986" s="15"/>
      <c r="U986" s="16"/>
      <c r="W986" s="16"/>
      <c r="X986" s="13"/>
      <c r="Y986" s="13"/>
    </row>
    <row r="987" ht="31.5" customHeight="1">
      <c r="D987" s="6" t="str">
        <f t="shared" si="1"/>
        <v/>
      </c>
      <c r="H987" s="7"/>
      <c r="K987" s="7">
        <f t="shared" si="2"/>
        <v>0</v>
      </c>
      <c r="N987" s="7">
        <f t="shared" si="3"/>
        <v>0</v>
      </c>
      <c r="O987" s="7">
        <f t="shared" si="4"/>
        <v>0</v>
      </c>
      <c r="P987" s="7">
        <f t="shared" si="5"/>
        <v>0</v>
      </c>
      <c r="R987" s="15"/>
      <c r="S987" s="15"/>
      <c r="U987" s="16"/>
      <c r="W987" s="16"/>
      <c r="X987" s="13"/>
      <c r="Y987" s="13"/>
    </row>
    <row r="988" ht="31.5" customHeight="1">
      <c r="D988" s="6" t="str">
        <f t="shared" si="1"/>
        <v/>
      </c>
      <c r="H988" s="7"/>
      <c r="K988" s="7">
        <f t="shared" si="2"/>
        <v>0</v>
      </c>
      <c r="N988" s="7">
        <f t="shared" si="3"/>
        <v>0</v>
      </c>
      <c r="O988" s="7">
        <f t="shared" si="4"/>
        <v>0</v>
      </c>
      <c r="P988" s="7">
        <f t="shared" si="5"/>
        <v>0</v>
      </c>
      <c r="R988" s="15"/>
      <c r="S988" s="15"/>
      <c r="U988" s="16"/>
      <c r="W988" s="16"/>
      <c r="X988" s="13"/>
      <c r="Y988" s="13"/>
    </row>
    <row r="989" ht="31.5" customHeight="1">
      <c r="D989" s="6" t="str">
        <f t="shared" si="1"/>
        <v/>
      </c>
      <c r="H989" s="7"/>
      <c r="K989" s="7">
        <f t="shared" si="2"/>
        <v>0</v>
      </c>
      <c r="N989" s="7">
        <f t="shared" si="3"/>
        <v>0</v>
      </c>
      <c r="O989" s="7">
        <f t="shared" si="4"/>
        <v>0</v>
      </c>
      <c r="P989" s="7">
        <f t="shared" si="5"/>
        <v>0</v>
      </c>
      <c r="R989" s="15"/>
      <c r="S989" s="15"/>
      <c r="U989" s="16"/>
      <c r="W989" s="16"/>
      <c r="X989" s="13"/>
      <c r="Y989" s="13"/>
    </row>
    <row r="990" ht="31.5" customHeight="1">
      <c r="D990" s="6" t="str">
        <f t="shared" si="1"/>
        <v/>
      </c>
      <c r="H990" s="7"/>
      <c r="K990" s="7">
        <f t="shared" si="2"/>
        <v>0</v>
      </c>
      <c r="N990" s="7">
        <f t="shared" si="3"/>
        <v>0</v>
      </c>
      <c r="O990" s="7">
        <f t="shared" si="4"/>
        <v>0</v>
      </c>
      <c r="P990" s="7">
        <f t="shared" si="5"/>
        <v>0</v>
      </c>
      <c r="R990" s="15"/>
      <c r="S990" s="15"/>
      <c r="U990" s="16"/>
      <c r="W990" s="16"/>
      <c r="X990" s="13"/>
      <c r="Y990" s="13"/>
    </row>
    <row r="991" ht="31.5" customHeight="1">
      <c r="D991" s="6" t="str">
        <f t="shared" si="1"/>
        <v/>
      </c>
      <c r="H991" s="7"/>
      <c r="K991" s="7">
        <f t="shared" si="2"/>
        <v>0</v>
      </c>
      <c r="N991" s="7">
        <f t="shared" si="3"/>
        <v>0</v>
      </c>
      <c r="O991" s="7">
        <f t="shared" si="4"/>
        <v>0</v>
      </c>
      <c r="P991" s="7">
        <f t="shared" si="5"/>
        <v>0</v>
      </c>
      <c r="R991" s="15"/>
      <c r="S991" s="15"/>
      <c r="U991" s="16"/>
      <c r="W991" s="16"/>
      <c r="X991" s="13"/>
      <c r="Y991" s="13"/>
    </row>
    <row r="992" ht="31.5" customHeight="1">
      <c r="D992" s="6" t="str">
        <f t="shared" si="1"/>
        <v/>
      </c>
      <c r="H992" s="7"/>
      <c r="K992" s="7">
        <f t="shared" si="2"/>
        <v>0</v>
      </c>
      <c r="N992" s="7">
        <f t="shared" si="3"/>
        <v>0</v>
      </c>
      <c r="O992" s="7">
        <f t="shared" si="4"/>
        <v>0</v>
      </c>
      <c r="P992" s="7">
        <f t="shared" si="5"/>
        <v>0</v>
      </c>
      <c r="R992" s="15"/>
      <c r="S992" s="15"/>
      <c r="U992" s="16"/>
      <c r="W992" s="16"/>
      <c r="X992" s="13"/>
      <c r="Y992" s="13"/>
    </row>
    <row r="993" ht="31.5" customHeight="1">
      <c r="D993" s="6" t="str">
        <f t="shared" si="1"/>
        <v/>
      </c>
      <c r="H993" s="7"/>
      <c r="K993" s="7">
        <f t="shared" si="2"/>
        <v>0</v>
      </c>
      <c r="N993" s="7">
        <f t="shared" si="3"/>
        <v>0</v>
      </c>
      <c r="O993" s="7">
        <f t="shared" si="4"/>
        <v>0</v>
      </c>
      <c r="P993" s="7">
        <f t="shared" si="5"/>
        <v>0</v>
      </c>
      <c r="R993" s="15"/>
      <c r="S993" s="15"/>
      <c r="U993" s="16"/>
      <c r="W993" s="16"/>
      <c r="X993" s="13"/>
      <c r="Y993" s="13"/>
    </row>
    <row r="994" ht="31.5" customHeight="1">
      <c r="D994" s="6" t="str">
        <f t="shared" si="1"/>
        <v/>
      </c>
      <c r="H994" s="7"/>
      <c r="K994" s="7">
        <f t="shared" si="2"/>
        <v>0</v>
      </c>
      <c r="N994" s="7">
        <f t="shared" si="3"/>
        <v>0</v>
      </c>
      <c r="O994" s="7">
        <f t="shared" si="4"/>
        <v>0</v>
      </c>
      <c r="P994" s="7">
        <f t="shared" si="5"/>
        <v>0</v>
      </c>
      <c r="R994" s="15"/>
      <c r="S994" s="15"/>
      <c r="U994" s="16"/>
      <c r="W994" s="16"/>
      <c r="X994" s="13"/>
      <c r="Y994" s="13"/>
    </row>
    <row r="995" ht="31.5" customHeight="1">
      <c r="D995" s="6" t="str">
        <f t="shared" si="1"/>
        <v/>
      </c>
      <c r="H995" s="7"/>
      <c r="K995" s="7">
        <f t="shared" si="2"/>
        <v>0</v>
      </c>
      <c r="N995" s="7">
        <f t="shared" si="3"/>
        <v>0</v>
      </c>
      <c r="O995" s="7">
        <f t="shared" si="4"/>
        <v>0</v>
      </c>
      <c r="P995" s="7">
        <f t="shared" si="5"/>
        <v>0</v>
      </c>
      <c r="R995" s="15"/>
      <c r="S995" s="15"/>
      <c r="U995" s="16"/>
      <c r="W995" s="16"/>
      <c r="X995" s="13"/>
      <c r="Y995" s="13"/>
    </row>
    <row r="996" ht="31.5" customHeight="1">
      <c r="D996" s="6" t="str">
        <f t="shared" si="1"/>
        <v/>
      </c>
      <c r="H996" s="7"/>
      <c r="K996" s="7">
        <f t="shared" si="2"/>
        <v>0</v>
      </c>
      <c r="N996" s="7">
        <f t="shared" si="3"/>
        <v>0</v>
      </c>
      <c r="O996" s="7">
        <f t="shared" si="4"/>
        <v>0</v>
      </c>
      <c r="P996" s="7">
        <f t="shared" si="5"/>
        <v>0</v>
      </c>
      <c r="R996" s="15"/>
      <c r="S996" s="15"/>
      <c r="U996" s="16"/>
      <c r="W996" s="16"/>
      <c r="X996" s="13"/>
      <c r="Y996" s="13"/>
    </row>
    <row r="997" ht="31.5" customHeight="1">
      <c r="D997" s="6" t="str">
        <f t="shared" si="1"/>
        <v/>
      </c>
      <c r="H997" s="7"/>
      <c r="K997" s="7">
        <f t="shared" si="2"/>
        <v>0</v>
      </c>
      <c r="N997" s="7">
        <f t="shared" si="3"/>
        <v>0</v>
      </c>
      <c r="O997" s="7">
        <f t="shared" si="4"/>
        <v>0</v>
      </c>
      <c r="P997" s="7">
        <f t="shared" si="5"/>
        <v>0</v>
      </c>
      <c r="R997" s="15"/>
      <c r="S997" s="15"/>
      <c r="U997" s="16"/>
      <c r="W997" s="16"/>
      <c r="X997" s="13"/>
      <c r="Y997" s="13"/>
    </row>
    <row r="998" ht="31.5" customHeight="1">
      <c r="D998" s="6" t="str">
        <f t="shared" si="1"/>
        <v/>
      </c>
      <c r="H998" s="7"/>
      <c r="K998" s="7">
        <f t="shared" si="2"/>
        <v>0</v>
      </c>
      <c r="N998" s="7">
        <f t="shared" si="3"/>
        <v>0</v>
      </c>
      <c r="O998" s="7">
        <f t="shared" si="4"/>
        <v>0</v>
      </c>
      <c r="P998" s="7">
        <f t="shared" si="5"/>
        <v>0</v>
      </c>
      <c r="R998" s="15"/>
      <c r="S998" s="15"/>
      <c r="U998" s="16"/>
      <c r="W998" s="16"/>
      <c r="X998" s="13"/>
      <c r="Y998" s="13"/>
    </row>
    <row r="999" ht="31.5" customHeight="1">
      <c r="D999" s="6" t="str">
        <f t="shared" si="1"/>
        <v/>
      </c>
      <c r="H999" s="7"/>
      <c r="K999" s="7">
        <f t="shared" si="2"/>
        <v>0</v>
      </c>
      <c r="N999" s="7">
        <f t="shared" si="3"/>
        <v>0</v>
      </c>
      <c r="O999" s="7">
        <f t="shared" si="4"/>
        <v>0</v>
      </c>
      <c r="P999" s="7">
        <f t="shared" si="5"/>
        <v>0</v>
      </c>
      <c r="R999" s="15"/>
      <c r="S999" s="15"/>
      <c r="U999" s="16"/>
      <c r="W999" s="16"/>
      <c r="X999" s="13"/>
      <c r="Y999" s="13"/>
    </row>
    <row r="1000" ht="31.5" customHeight="1">
      <c r="D1000" s="6" t="str">
        <f t="shared" si="1"/>
        <v/>
      </c>
      <c r="H1000" s="7"/>
      <c r="K1000" s="7">
        <f t="shared" si="2"/>
        <v>0</v>
      </c>
      <c r="N1000" s="7">
        <f t="shared" si="3"/>
        <v>0</v>
      </c>
      <c r="O1000" s="7">
        <f t="shared" si="4"/>
        <v>0</v>
      </c>
      <c r="P1000" s="7">
        <f t="shared" si="5"/>
        <v>0</v>
      </c>
      <c r="R1000" s="15"/>
      <c r="S1000" s="15"/>
      <c r="U1000" s="16"/>
      <c r="W1000" s="16"/>
      <c r="X1000" s="13"/>
      <c r="Y1000" s="13"/>
    </row>
  </sheetData>
  <conditionalFormatting sqref="H2:H1000">
    <cfRule type="cellIs" dxfId="0" priority="1" operator="equal">
      <formula>"NONE"</formula>
    </cfRule>
  </conditionalFormatting>
  <conditionalFormatting sqref="H2:H1000">
    <cfRule type="notContainsText" dxfId="1" priority="2" operator="notContains" text="NONE">
      <formula>ISERROR(SEARCH(("NONE"),(H2)))</formula>
    </cfRule>
  </conditionalFormatting>
  <conditionalFormatting sqref="K2:K1000">
    <cfRule type="colorScale" priority="3">
      <colorScale>
        <cfvo type="min"/>
        <cfvo type="max"/>
        <color rgb="FF8E7CC3"/>
        <color rgb="FFFFD966"/>
      </colorScale>
    </cfRule>
  </conditionalFormatting>
  <conditionalFormatting sqref="N2:N1000">
    <cfRule type="colorScale" priority="4">
      <colorScale>
        <cfvo type="formula" val="0"/>
        <cfvo type="percentile" val="0"/>
        <cfvo type="percentile" val="100"/>
        <color rgb="FFFFFFFF"/>
        <color rgb="FFE06666"/>
        <color rgb="FF93C47D"/>
      </colorScale>
    </cfRule>
  </conditionalFormatting>
  <conditionalFormatting sqref="O2:O1000">
    <cfRule type="colorScale" priority="5">
      <colorScale>
        <cfvo type="min"/>
        <cfvo type="percentile" val="0"/>
        <cfvo type="percentile" val="100"/>
        <color rgb="FFFFFFFF"/>
        <color rgb="FFE06666"/>
        <color rgb="FF93C47D"/>
      </colorScale>
    </cfRule>
  </conditionalFormatting>
  <conditionalFormatting sqref="T1:T1000">
    <cfRule type="colorScale" priority="6">
      <colorScale>
        <cfvo type="min"/>
        <cfvo type="formula" val="0"/>
        <cfvo type="max"/>
        <color rgb="FFE06666"/>
        <color rgb="FFFFFFFF"/>
        <color rgb="FF57BB8A"/>
      </colorScale>
    </cfRule>
  </conditionalFormatting>
  <conditionalFormatting sqref="Q2:Q1000">
    <cfRule type="colorScale" priority="7">
      <colorScale>
        <cfvo type="formula" val="0"/>
        <cfvo type="percentile" val="0"/>
        <cfvo type="percentile" val="100"/>
        <color rgb="FFFFFFFF"/>
        <color rgb="FFE06666"/>
        <color rgb="FF93C47D"/>
      </colorScale>
    </cfRule>
  </conditionalFormatting>
  <conditionalFormatting sqref="P1:P1000">
    <cfRule type="colorScale" priority="8">
      <colorScale>
        <cfvo type="formula" val="0"/>
        <cfvo type="percentile" val="0"/>
        <cfvo type="percentile" val="100"/>
        <color rgb="FFFFFFFF"/>
        <color rgb="FFE06666"/>
        <color rgb="FF57BB8A"/>
      </colorScale>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6.63"/>
    <col customWidth="1" min="3" max="3" width="18.75"/>
    <col customWidth="1" min="4" max="4" width="16.63"/>
    <col customWidth="1" min="5" max="7" width="18.13"/>
    <col customWidth="1" min="8" max="8" width="22.88"/>
    <col customWidth="1" min="9" max="9" width="18.5"/>
    <col customWidth="1" min="10" max="10" width="26.0"/>
    <col customWidth="1" min="11" max="12" width="20.88"/>
  </cols>
  <sheetData>
    <row r="1">
      <c r="A1" s="1" t="s">
        <v>128</v>
      </c>
      <c r="B1" s="1" t="s">
        <v>129</v>
      </c>
      <c r="C1" s="1" t="s">
        <v>130</v>
      </c>
      <c r="D1" s="1" t="s">
        <v>131</v>
      </c>
      <c r="E1" s="1" t="s">
        <v>132</v>
      </c>
      <c r="F1" s="1" t="s">
        <v>133</v>
      </c>
      <c r="G1" s="1" t="s">
        <v>134</v>
      </c>
      <c r="H1" s="1" t="s">
        <v>135</v>
      </c>
      <c r="I1" s="1" t="s">
        <v>136</v>
      </c>
      <c r="J1" s="1" t="s">
        <v>137</v>
      </c>
      <c r="K1" s="1" t="s">
        <v>138</v>
      </c>
      <c r="L1" s="1"/>
    </row>
    <row r="2">
      <c r="A2" s="6" t="s">
        <v>139</v>
      </c>
      <c r="B2" s="6" t="s">
        <v>140</v>
      </c>
      <c r="C2" s="6" t="str">
        <f t="shared" ref="C2:C1000" si="1">Trim(Concatenate(A2, " ", B2))</f>
        <v>James Gardner</v>
      </c>
      <c r="F2" s="5">
        <v>44953.0</v>
      </c>
      <c r="G2" s="17">
        <v>46874.0</v>
      </c>
      <c r="I2" s="6" t="s">
        <v>141</v>
      </c>
      <c r="J2" s="7">
        <f>IFERROR(__xludf.DUMMYFUNCTION("IF($C2 = """", """", IFNA(
  ROWS(
    FILTER(
      Events!$G$2:$G1000,
      Events!$B$2:$B1000 &gt;= TODAY() - 90,
      REGEXMATCH(
        "","" &amp; SUBSTITUTE(Events!$G$2:$G1000, "" "", """") &amp; "","",
        "","" &amp; SUBSTITUTE($C2, "" "", """") &amp; "",""
"&amp;"      )
    )
  ),
0)
)"),10.0)</f>
        <v>10</v>
      </c>
      <c r="K2" s="7" t="str">
        <f t="shared" ref="K2:K1000" si="2">IFS(AND(I2 = "Current Member", J2 &gt;= 2), "YES", I2 = "Alumni", "ALUMNI", AND(I2 = "Current Member", J2 &lt; 2), "NO")</f>
        <v>YES</v>
      </c>
    </row>
    <row r="3">
      <c r="A3" s="6" t="s">
        <v>142</v>
      </c>
      <c r="B3" s="6" t="s">
        <v>143</v>
      </c>
      <c r="C3" s="6" t="str">
        <f t="shared" si="1"/>
        <v>Robb Northrup</v>
      </c>
      <c r="E3" s="6" t="s">
        <v>144</v>
      </c>
      <c r="F3" s="5">
        <v>45515.0</v>
      </c>
      <c r="G3" s="17">
        <v>46143.0</v>
      </c>
      <c r="H3" s="6" t="s">
        <v>145</v>
      </c>
      <c r="I3" s="6" t="s">
        <v>141</v>
      </c>
      <c r="J3" s="7">
        <f>IFERROR(__xludf.DUMMYFUNCTION("IF($C3 = """", """", IFNA(
  ROWS(
    FILTER(
      Events!$G$2:$G1000,
      Events!$B$2:$B1000 &gt;= TODAY() - 90,
      REGEXMATCH(
        "","" &amp; SUBSTITUTE(Events!$G$2:$G1000, "" "", """") &amp; "","",
        "","" &amp; SUBSTITUTE($C3, "" "", """") &amp; "",""
"&amp;"      )
    )
  ),
0)
)"),8.0)</f>
        <v>8</v>
      </c>
      <c r="K3" s="7" t="str">
        <f t="shared" si="2"/>
        <v>YES</v>
      </c>
    </row>
    <row r="4">
      <c r="A4" s="6" t="s">
        <v>146</v>
      </c>
      <c r="B4" s="6" t="s">
        <v>147</v>
      </c>
      <c r="C4" s="6" t="str">
        <f t="shared" si="1"/>
        <v>Zhao Yu</v>
      </c>
      <c r="E4" s="6" t="s">
        <v>148</v>
      </c>
      <c r="F4" s="5">
        <v>44430.0</v>
      </c>
      <c r="G4" s="17">
        <v>46143.0</v>
      </c>
      <c r="I4" s="6" t="s">
        <v>141</v>
      </c>
      <c r="J4" s="7">
        <f>IFERROR(__xludf.DUMMYFUNCTION("IF($C4 = """", """", IFNA(
  ROWS(
    FILTER(
      Events!$G$2:$G1000,
      Events!$B$2:$B1000 &gt;= TODAY() - 90,
      REGEXMATCH(
        "","" &amp; SUBSTITUTE(Events!$G$2:$G1000, "" "", """") &amp; "","",
        "","" &amp; SUBSTITUTE($C4, "" "", """") &amp; "",""
"&amp;"      )
    )
  ),
0)
)"),4.0)</f>
        <v>4</v>
      </c>
      <c r="K4" s="7" t="str">
        <f t="shared" si="2"/>
        <v>YES</v>
      </c>
    </row>
    <row r="5">
      <c r="A5" s="6" t="s">
        <v>149</v>
      </c>
      <c r="B5" s="6" t="s">
        <v>150</v>
      </c>
      <c r="C5" s="6" t="str">
        <f t="shared" si="1"/>
        <v>Dylan Bergsen</v>
      </c>
      <c r="F5" s="5">
        <v>45522.0</v>
      </c>
      <c r="G5" s="5">
        <v>46070.0</v>
      </c>
      <c r="I5" s="6" t="s">
        <v>151</v>
      </c>
      <c r="J5" s="7">
        <f>IFERROR(__xludf.DUMMYFUNCTION("IF($C5 = """", """", IFNA(
  ROWS(
    FILTER(
      Events!$G$2:$G1000,
      Events!$B$2:$B1000 &gt;= TODAY() - 90,
      REGEXMATCH(
        "","" &amp; SUBSTITUTE(Events!$G$2:$G1000, "" "", """") &amp; "","",
        "","" &amp; SUBSTITUTE($C5, "" "", """") &amp; "",""
"&amp;"      )
    )
  ),
0)
)"),1.0)</f>
        <v>1</v>
      </c>
      <c r="K5" s="7" t="str">
        <f t="shared" si="2"/>
        <v>ALUMNI</v>
      </c>
    </row>
    <row r="6">
      <c r="A6" s="6" t="s">
        <v>152</v>
      </c>
      <c r="B6" s="6" t="s">
        <v>153</v>
      </c>
      <c r="C6" s="6" t="str">
        <f t="shared" si="1"/>
        <v>Nick Eastwood</v>
      </c>
      <c r="F6" s="5">
        <v>45674.0</v>
      </c>
      <c r="G6" s="17">
        <v>46143.0</v>
      </c>
      <c r="I6" s="6" t="s">
        <v>141</v>
      </c>
      <c r="J6" s="7">
        <f>IFERROR(__xludf.DUMMYFUNCTION("IF($C6 = """", """", IFNA(
  ROWS(
    FILTER(
      Events!$G$2:$G1000,
      Events!$B$2:$B1000 &gt;= TODAY() - 90,
      REGEXMATCH(
        "","" &amp; SUBSTITUTE(Events!$G$2:$G1000, "" "", """") &amp; "","",
        "","" &amp; SUBSTITUTE($C6, "" "", """") &amp; "",""
"&amp;"      )
    )
  ),
0)
)"),7.0)</f>
        <v>7</v>
      </c>
      <c r="K6" s="7" t="str">
        <f t="shared" si="2"/>
        <v>YES</v>
      </c>
    </row>
    <row r="7">
      <c r="A7" s="6" t="s">
        <v>154</v>
      </c>
      <c r="B7" s="6" t="s">
        <v>155</v>
      </c>
      <c r="C7" s="6" t="str">
        <f t="shared" si="1"/>
        <v>PJ Duquette</v>
      </c>
      <c r="F7" s="5">
        <v>44953.0</v>
      </c>
      <c r="G7" s="17">
        <v>46143.0</v>
      </c>
      <c r="I7" s="6" t="s">
        <v>141</v>
      </c>
      <c r="J7" s="7">
        <f>IFERROR(__xludf.DUMMYFUNCTION("IF($C7 = """", """", IFNA(
  ROWS(
    FILTER(
      Events!$G$2:$G1000,
      Events!$B$2:$B1000 &gt;= TODAY() - 90,
      REGEXMATCH(
        "","" &amp; SUBSTITUTE(Events!$G$2:$G1000, "" "", """") &amp; "","",
        "","" &amp; SUBSTITUTE($C7, "" "", """") &amp; "",""
"&amp;"      )
    )
  ),
0)
)"),5.0)</f>
        <v>5</v>
      </c>
      <c r="K7" s="7" t="str">
        <f t="shared" si="2"/>
        <v>YES</v>
      </c>
    </row>
    <row r="8">
      <c r="A8" s="6" t="s">
        <v>156</v>
      </c>
      <c r="B8" s="6" t="s">
        <v>157</v>
      </c>
      <c r="C8" s="6" t="str">
        <f t="shared" si="1"/>
        <v>Alex Totter</v>
      </c>
      <c r="F8" s="5">
        <v>45192.0</v>
      </c>
      <c r="G8" s="17">
        <v>46508.0</v>
      </c>
      <c r="I8" s="6" t="s">
        <v>141</v>
      </c>
      <c r="J8" s="7">
        <f>IFERROR(__xludf.DUMMYFUNCTION("IF($C8 = """", """", IFNA(
  ROWS(
    FILTER(
      Events!$G$2:$G1000,
      Events!$B$2:$B1000 &gt;= TODAY() - 90,
      REGEXMATCH(
        "","" &amp; SUBSTITUTE(Events!$G$2:$G1000, "" "", """") &amp; "","",
        "","" &amp; SUBSTITUTE($C8, "" "", """") &amp; "",""
"&amp;"      )
    )
  ),
0)
)"),7.0)</f>
        <v>7</v>
      </c>
      <c r="K8" s="7" t="str">
        <f t="shared" si="2"/>
        <v>YES</v>
      </c>
    </row>
    <row r="9">
      <c r="A9" s="6" t="s">
        <v>158</v>
      </c>
      <c r="B9" s="6"/>
      <c r="C9" s="6" t="str">
        <f t="shared" si="1"/>
        <v>Alvaro</v>
      </c>
      <c r="F9" s="5">
        <v>45923.0</v>
      </c>
      <c r="G9" s="5">
        <v>47604.0</v>
      </c>
      <c r="I9" s="6" t="s">
        <v>141</v>
      </c>
      <c r="J9" s="7">
        <f>IFERROR(__xludf.DUMMYFUNCTION("IF($C9 = """", """", IFNA(
  ROWS(
    FILTER(
      Events!$G$2:$G1000,
      Events!$B$2:$B1000 &gt;= TODAY() - 90,
      REGEXMATCH(
        "","" &amp; SUBSTITUTE(Events!$G$2:$G1000, "" "", """") &amp; "","",
        "","" &amp; SUBSTITUTE($C9, "" "", """") &amp; "",""
"&amp;"      )
    )
  ),
0)
)"),0.0)</f>
        <v>0</v>
      </c>
      <c r="K9" s="7" t="str">
        <f t="shared" si="2"/>
        <v>NO</v>
      </c>
    </row>
    <row r="10">
      <c r="A10" s="6" t="s">
        <v>159</v>
      </c>
      <c r="B10" s="6" t="s">
        <v>160</v>
      </c>
      <c r="C10" s="6" t="str">
        <f t="shared" si="1"/>
        <v>Andrew Izzo</v>
      </c>
      <c r="F10" s="5">
        <v>45674.0</v>
      </c>
      <c r="G10" s="5">
        <v>46143.0</v>
      </c>
      <c r="I10" s="6" t="s">
        <v>141</v>
      </c>
      <c r="J10" s="7">
        <f>IFERROR(__xludf.DUMMYFUNCTION("IF($C10 = """", """", IFNA(
  ROWS(
    FILTER(
      Events!$G$2:$G1000,
      Events!$B$2:$B1000 &gt;= TODAY() - 90,
      REGEXMATCH(
        "","" &amp; SUBSTITUTE(Events!$G$2:$G1000, "" "", """") &amp; "","",
        "","" &amp; SUBSTITUTE($C10, "" "", """") &amp; "","&amp;"""
      )
    )
  ),
0)
)"),1.0)</f>
        <v>1</v>
      </c>
      <c r="K10" s="7" t="str">
        <f t="shared" si="2"/>
        <v>NO</v>
      </c>
    </row>
    <row r="11">
      <c r="A11" s="6" t="s">
        <v>161</v>
      </c>
      <c r="B11" s="6" t="s">
        <v>162</v>
      </c>
      <c r="C11" s="6" t="str">
        <f t="shared" si="1"/>
        <v>Boni Jacinto</v>
      </c>
      <c r="F11" s="5">
        <v>45923.0</v>
      </c>
      <c r="G11" s="5">
        <v>47604.0</v>
      </c>
      <c r="I11" s="6" t="s">
        <v>141</v>
      </c>
      <c r="J11" s="7">
        <f>IFERROR(__xludf.DUMMYFUNCTION("IF($C11 = """", """", IFNA(
  ROWS(
    FILTER(
      Events!$G$2:$G1000,
      Events!$B$2:$B1000 &gt;= TODAY() - 90,
      REGEXMATCH(
        "","" &amp; SUBSTITUTE(Events!$G$2:$G1000, "" "", """") &amp; "","",
        "","" &amp; SUBSTITUTE($C11, "" "", """") &amp; "","&amp;"""
      )
    )
  ),
0)
)"),0.0)</f>
        <v>0</v>
      </c>
      <c r="K11" s="7" t="str">
        <f t="shared" si="2"/>
        <v>NO</v>
      </c>
    </row>
    <row r="12">
      <c r="A12" s="6" t="s">
        <v>163</v>
      </c>
      <c r="B12" s="6" t="s">
        <v>164</v>
      </c>
      <c r="C12" s="6" t="str">
        <f t="shared" si="1"/>
        <v>Don Cortez</v>
      </c>
      <c r="F12" s="5">
        <v>44430.0</v>
      </c>
      <c r="G12" s="5">
        <v>46204.0</v>
      </c>
      <c r="I12" s="6" t="s">
        <v>141</v>
      </c>
      <c r="J12" s="7">
        <f>IFERROR(__xludf.DUMMYFUNCTION("IF($C12 = """", """", IFNA(
  ROWS(
    FILTER(
      Events!$G$2:$G1000,
      Events!$B$2:$B1000 &gt;= TODAY() - 90,
      REGEXMATCH(
        "","" &amp; SUBSTITUTE(Events!$G$2:$G1000, "" "", """") &amp; "","",
        "","" &amp; SUBSTITUTE($C12, "" "", """") &amp; "","&amp;"""
      )
    )
  ),
0)
)"),4.0)</f>
        <v>4</v>
      </c>
      <c r="K12" s="7" t="str">
        <f t="shared" si="2"/>
        <v>YES</v>
      </c>
    </row>
    <row r="13">
      <c r="A13" s="6" t="s">
        <v>165</v>
      </c>
      <c r="B13" s="6" t="s">
        <v>166</v>
      </c>
      <c r="C13" s="6" t="str">
        <f t="shared" si="1"/>
        <v>Jack McKinzie</v>
      </c>
      <c r="F13" s="5">
        <v>45515.0</v>
      </c>
      <c r="G13" s="5">
        <v>46508.0</v>
      </c>
      <c r="I13" s="6" t="s">
        <v>141</v>
      </c>
      <c r="J13" s="7">
        <f>IFERROR(__xludf.DUMMYFUNCTION("IF($C13 = """", """", IFNA(
  ROWS(
    FILTER(
      Events!$G$2:$G1000,
      Events!$B$2:$B1000 &gt;= TODAY() - 90,
      REGEXMATCH(
        "","" &amp; SUBSTITUTE(Events!$G$2:$G1000, "" "", """") &amp; "","",
        "","" &amp; SUBSTITUTE($C13, "" "", """") &amp; "","&amp;"""
      )
    )
  ),
0)
)"),0.0)</f>
        <v>0</v>
      </c>
      <c r="K13" s="7" t="str">
        <f t="shared" si="2"/>
        <v>NO</v>
      </c>
    </row>
    <row r="14">
      <c r="A14" s="6" t="s">
        <v>167</v>
      </c>
      <c r="B14" s="6" t="s">
        <v>168</v>
      </c>
      <c r="C14" s="6" t="str">
        <f t="shared" si="1"/>
        <v>Josh Snow</v>
      </c>
      <c r="F14" s="5">
        <v>44953.0</v>
      </c>
      <c r="G14" s="17">
        <v>47604.0</v>
      </c>
      <c r="I14" s="6" t="s">
        <v>141</v>
      </c>
      <c r="J14" s="7">
        <f>IFERROR(__xludf.DUMMYFUNCTION("IF($C14 = """", """", IFNA(
  ROWS(
    FILTER(
      Events!$G$2:$G1000,
      Events!$B$2:$B1000 &gt;= TODAY() - 90,
      REGEXMATCH(
        "","" &amp; SUBSTITUTE(Events!$G$2:$G1000, "" "", """") &amp; "","",
        "","" &amp; SUBSTITUTE($C14, "" "", """") &amp; "","&amp;"""
      )
    )
  ),
0)
)"),0.0)</f>
        <v>0</v>
      </c>
      <c r="K14" s="7" t="str">
        <f t="shared" si="2"/>
        <v>NO</v>
      </c>
    </row>
    <row r="15">
      <c r="A15" s="6" t="s">
        <v>169</v>
      </c>
      <c r="B15" s="6" t="s">
        <v>170</v>
      </c>
      <c r="C15" s="6" t="str">
        <f t="shared" si="1"/>
        <v>Joe Yarhi</v>
      </c>
      <c r="F15" s="5">
        <v>45674.0</v>
      </c>
      <c r="G15" s="17">
        <v>46874.0</v>
      </c>
      <c r="I15" s="6" t="s">
        <v>141</v>
      </c>
      <c r="J15" s="7">
        <f>IFERROR(__xludf.DUMMYFUNCTION("IF($C15 = """", """", IFNA(
  ROWS(
    FILTER(
      Events!$G$2:$G1000,
      Events!$B$2:$B1000 &gt;= TODAY() - 90,
      REGEXMATCH(
        "","" &amp; SUBSTITUTE(Events!$G$2:$G1000, "" "", """") &amp; "","",
        "","" &amp; SUBSTITUTE($C15, "" "", """") &amp; "","&amp;"""
      )
    )
  ),
0)
)"),1.0)</f>
        <v>1</v>
      </c>
      <c r="K15" s="7" t="str">
        <f t="shared" si="2"/>
        <v>NO</v>
      </c>
    </row>
    <row r="16">
      <c r="A16" s="6" t="s">
        <v>171</v>
      </c>
      <c r="B16" s="6" t="s">
        <v>172</v>
      </c>
      <c r="C16" s="6" t="str">
        <f t="shared" si="1"/>
        <v>Juan Camacho-Marales</v>
      </c>
      <c r="F16" s="5">
        <v>45923.0</v>
      </c>
      <c r="G16" s="5">
        <v>46508.0</v>
      </c>
      <c r="I16" s="6" t="s">
        <v>141</v>
      </c>
      <c r="J16" s="7">
        <f>IFERROR(__xludf.DUMMYFUNCTION("IF($C16 = """", """", IFNA(
  ROWS(
    FILTER(
      Events!$G$2:$G1000,
      Events!$B$2:$B1000 &gt;= TODAY() - 90,
      REGEXMATCH(
        "","" &amp; SUBSTITUTE(Events!$G$2:$G1000, "" "", """") &amp; "","",
        "","" &amp; SUBSTITUTE($C16, "" "", """") &amp; "","&amp;"""
      )
    )
  ),
0)
)"),1.0)</f>
        <v>1</v>
      </c>
      <c r="K16" s="7" t="str">
        <f t="shared" si="2"/>
        <v>NO</v>
      </c>
    </row>
    <row r="17">
      <c r="A17" s="6" t="s">
        <v>173</v>
      </c>
      <c r="B17" s="6" t="s">
        <v>174</v>
      </c>
      <c r="C17" s="6" t="str">
        <f t="shared" si="1"/>
        <v>Kevin Malone</v>
      </c>
      <c r="F17" s="5">
        <v>45515.0</v>
      </c>
      <c r="G17" s="5">
        <v>47239.0</v>
      </c>
      <c r="I17" s="6" t="s">
        <v>141</v>
      </c>
      <c r="J17" s="7">
        <f>IFERROR(__xludf.DUMMYFUNCTION("IF($C17 = """", """", IFNA(
  ROWS(
    FILTER(
      Events!$G$2:$G1000,
      Events!$B$2:$B1000 &gt;= TODAY() - 90,
      REGEXMATCH(
        "","" &amp; SUBSTITUTE(Events!$G$2:$G1000, "" "", """") &amp; "","",
        "","" &amp; SUBSTITUTE($C17, "" "", """") &amp; "","&amp;"""
      )
    )
  ),
0)
)"),1.0)</f>
        <v>1</v>
      </c>
      <c r="K17" s="7" t="str">
        <f t="shared" si="2"/>
        <v>NO</v>
      </c>
    </row>
    <row r="18">
      <c r="A18" s="6" t="s">
        <v>175</v>
      </c>
      <c r="B18" s="6" t="s">
        <v>176</v>
      </c>
      <c r="C18" s="6" t="str">
        <f t="shared" si="1"/>
        <v>Leo Pankratz</v>
      </c>
      <c r="F18" s="5">
        <v>45923.0</v>
      </c>
      <c r="G18" s="5">
        <v>47604.0</v>
      </c>
      <c r="I18" s="6" t="s">
        <v>141</v>
      </c>
      <c r="J18" s="7">
        <f>IFERROR(__xludf.DUMMYFUNCTION("IF($C18 = """", """", IFNA(
  ROWS(
    FILTER(
      Events!$G$2:$G1000,
      Events!$B$2:$B1000 &gt;= TODAY() - 90,
      REGEXMATCH(
        "","" &amp; SUBSTITUTE(Events!$G$2:$G1000, "" "", """") &amp; "","",
        "","" &amp; SUBSTITUTE($C18, "" "", """") &amp; "","&amp;"""
      )
    )
  ),
0)
)"),6.0)</f>
        <v>6</v>
      </c>
      <c r="K18" s="7" t="str">
        <f t="shared" si="2"/>
        <v>YES</v>
      </c>
    </row>
    <row r="19">
      <c r="A19" s="6" t="s">
        <v>177</v>
      </c>
      <c r="B19" s="6" t="s">
        <v>178</v>
      </c>
      <c r="C19" s="6" t="str">
        <f t="shared" si="1"/>
        <v>Matthew Combes</v>
      </c>
      <c r="F19" s="5">
        <v>45515.0</v>
      </c>
      <c r="G19" s="5">
        <v>46143.0</v>
      </c>
      <c r="I19" s="6" t="s">
        <v>141</v>
      </c>
      <c r="J19" s="7">
        <f>IFERROR(__xludf.DUMMYFUNCTION("IF($C19 = """", """", IFNA(
  ROWS(
    FILTER(
      Events!$G$2:$G1000,
      Events!$B$2:$B1000 &gt;= TODAY() - 90,
      REGEXMATCH(
        "","" &amp; SUBSTITUTE(Events!$G$2:$G1000, "" "", """") &amp; "","",
        "","" &amp; SUBSTITUTE($C19, "" "", """") &amp; "","&amp;"""
      )
    )
  ),
0)
)"),5.0)</f>
        <v>5</v>
      </c>
      <c r="K19" s="7" t="str">
        <f t="shared" si="2"/>
        <v>YES</v>
      </c>
    </row>
    <row r="20">
      <c r="A20" s="6" t="s">
        <v>179</v>
      </c>
      <c r="B20" s="6" t="s">
        <v>180</v>
      </c>
      <c r="C20" s="6" t="str">
        <f t="shared" si="1"/>
        <v>Noah Backman-Dodge</v>
      </c>
      <c r="F20" s="5">
        <v>45515.0</v>
      </c>
      <c r="G20" s="5">
        <v>46143.0</v>
      </c>
      <c r="I20" s="6" t="s">
        <v>141</v>
      </c>
      <c r="J20" s="7">
        <f>IFERROR(__xludf.DUMMYFUNCTION("IF($C20 = """", """", IFNA(
  ROWS(
    FILTER(
      Events!$G$2:$G1000,
      Events!$B$2:$B1000 &gt;= TODAY() - 90,
      REGEXMATCH(
        "","" &amp; SUBSTITUTE(Events!$G$2:$G1000, "" "", """") &amp; "","",
        "","" &amp; SUBSTITUTE($C20, "" "", """") &amp; "","&amp;"""
      )
    )
  ),
0)
)"),0.0)</f>
        <v>0</v>
      </c>
      <c r="K20" s="7" t="str">
        <f t="shared" si="2"/>
        <v>NO</v>
      </c>
    </row>
    <row r="21">
      <c r="A21" s="6" t="s">
        <v>181</v>
      </c>
      <c r="B21" s="6" t="s">
        <v>182</v>
      </c>
      <c r="C21" s="6" t="str">
        <f t="shared" si="1"/>
        <v>Patrick Cendana</v>
      </c>
      <c r="F21" s="5">
        <v>45515.0</v>
      </c>
      <c r="G21" s="5">
        <v>47604.0</v>
      </c>
      <c r="I21" s="6" t="s">
        <v>141</v>
      </c>
      <c r="J21" s="7">
        <f>IFERROR(__xludf.DUMMYFUNCTION("IF($C21 = """", """", IFNA(
  ROWS(
    FILTER(
      Events!$G$2:$G1000,
      Events!$B$2:$B1000 &gt;= TODAY() - 90,
      REGEXMATCH(
        "","" &amp; SUBSTITUTE(Events!$G$2:$G1000, "" "", """") &amp; "","",
        "","" &amp; SUBSTITUTE($C21, "" "", """") &amp; "","&amp;"""
      )
    )
  ),
0)
)"),2.0)</f>
        <v>2</v>
      </c>
      <c r="K21" s="7" t="str">
        <f t="shared" si="2"/>
        <v>YES</v>
      </c>
    </row>
    <row r="22">
      <c r="A22" s="6" t="s">
        <v>181</v>
      </c>
      <c r="B22" s="6" t="s">
        <v>183</v>
      </c>
      <c r="C22" s="6" t="str">
        <f t="shared" si="1"/>
        <v>Patrick Cummings</v>
      </c>
      <c r="F22" s="5">
        <v>44430.0</v>
      </c>
      <c r="G22" s="5">
        <v>46508.0</v>
      </c>
      <c r="I22" s="6" t="s">
        <v>141</v>
      </c>
      <c r="J22" s="7">
        <f>IFERROR(__xludf.DUMMYFUNCTION("IF($C22 = """", """", IFNA(
  ROWS(
    FILTER(
      Events!$G$2:$G1000,
      Events!$B$2:$B1000 &gt;= TODAY() - 90,
      REGEXMATCH(
        "","" &amp; SUBSTITUTE(Events!$G$2:$G1000, "" "", """") &amp; "","",
        "","" &amp; SUBSTITUTE($C22, "" "", """") &amp; "","&amp;"""
      )
    )
  ),
0)
)"),0.0)</f>
        <v>0</v>
      </c>
      <c r="K22" s="7" t="str">
        <f t="shared" si="2"/>
        <v>NO</v>
      </c>
    </row>
    <row r="23">
      <c r="A23" s="6" t="s">
        <v>184</v>
      </c>
      <c r="B23" s="6" t="s">
        <v>170</v>
      </c>
      <c r="C23" s="6" t="str">
        <f t="shared" si="1"/>
        <v>Ryan Yarhi</v>
      </c>
      <c r="F23" s="5">
        <v>45192.0</v>
      </c>
      <c r="G23" s="5">
        <v>47239.0</v>
      </c>
      <c r="I23" s="6" t="s">
        <v>141</v>
      </c>
      <c r="J23" s="7">
        <f>IFERROR(__xludf.DUMMYFUNCTION("IF($C23 = """", """", IFNA(
  ROWS(
    FILTER(
      Events!$G$2:$G1000,
      Events!$B$2:$B1000 &gt;= TODAY() - 90,
      REGEXMATCH(
        "","" &amp; SUBSTITUTE(Events!$G$2:$G1000, "" "", """") &amp; "","",
        "","" &amp; SUBSTITUTE($C23, "" "", """") &amp; "","&amp;"""
      )
    )
  ),
0)
)"),1.0)</f>
        <v>1</v>
      </c>
      <c r="K23" s="7" t="str">
        <f t="shared" si="2"/>
        <v>NO</v>
      </c>
    </row>
    <row r="24">
      <c r="A24" s="6" t="s">
        <v>185</v>
      </c>
      <c r="B24" s="6" t="s">
        <v>164</v>
      </c>
      <c r="C24" s="6" t="str">
        <f t="shared" si="1"/>
        <v>Xavier Cortez</v>
      </c>
      <c r="F24" s="5">
        <v>45192.0</v>
      </c>
      <c r="G24" s="5">
        <v>46143.0</v>
      </c>
      <c r="I24" s="6" t="s">
        <v>141</v>
      </c>
      <c r="J24" s="7">
        <f>IFERROR(__xludf.DUMMYFUNCTION("IF($C24 = """", """", IFNA(
  ROWS(
    FILTER(
      Events!$G$2:$G1000,
      Events!$B$2:$B1000 &gt;= TODAY() - 90,
      REGEXMATCH(
        "","" &amp; SUBSTITUTE(Events!$G$2:$G1000, "" "", """") &amp; "","",
        "","" &amp; SUBSTITUTE($C24, "" "", """") &amp; "","&amp;"""
      )
    )
  ),
0)
)"),0.0)</f>
        <v>0</v>
      </c>
      <c r="K24" s="7" t="str">
        <f t="shared" si="2"/>
        <v>NO</v>
      </c>
    </row>
    <row r="25">
      <c r="A25" s="6" t="s">
        <v>177</v>
      </c>
      <c r="B25" s="6" t="s">
        <v>186</v>
      </c>
      <c r="C25" s="6" t="str">
        <f t="shared" si="1"/>
        <v>Matthew Lockerby</v>
      </c>
      <c r="F25" s="5">
        <v>45923.0</v>
      </c>
      <c r="G25" s="5">
        <v>46143.0</v>
      </c>
      <c r="I25" s="6" t="s">
        <v>141</v>
      </c>
      <c r="J25" s="7">
        <f>IFERROR(__xludf.DUMMYFUNCTION("IF($C25 = """", """", IFNA(
  ROWS(
    FILTER(
      Events!$G$2:$G1000,
      Events!$B$2:$B1000 &gt;= TODAY() - 90,
      REGEXMATCH(
        "","" &amp; SUBSTITUTE(Events!$G$2:$G1000, "" "", """") &amp; "","",
        "","" &amp; SUBSTITUTE($C25, "" "", """") &amp; "","&amp;"""
      )
    )
  ),
0)
)"),0.0)</f>
        <v>0</v>
      </c>
      <c r="K25" s="7" t="str">
        <f t="shared" si="2"/>
        <v>NO</v>
      </c>
    </row>
    <row r="26">
      <c r="A26" s="6" t="s">
        <v>187</v>
      </c>
      <c r="B26" s="6" t="s">
        <v>188</v>
      </c>
      <c r="C26" s="6" t="str">
        <f t="shared" si="1"/>
        <v>Tyler Cholico</v>
      </c>
      <c r="F26" s="5">
        <v>45923.0</v>
      </c>
      <c r="G26" s="5">
        <v>47604.0</v>
      </c>
      <c r="I26" s="6" t="s">
        <v>141</v>
      </c>
      <c r="J26" s="7">
        <f>IFERROR(__xludf.DUMMYFUNCTION("IF($C26 = """", """", IFNA(
  ROWS(
    FILTER(
      Events!$G$2:$G1000,
      Events!$B$2:$B1000 &gt;= TODAY() - 90,
      REGEXMATCH(
        "","" &amp; SUBSTITUTE(Events!$G$2:$G1000, "" "", """") &amp; "","",
        "","" &amp; SUBSTITUTE($C26, "" "", """") &amp; "","&amp;"""
      )
    )
  ),
0)
)"),5.0)</f>
        <v>5</v>
      </c>
      <c r="K26" s="7" t="str">
        <f t="shared" si="2"/>
        <v>YES</v>
      </c>
    </row>
    <row r="27">
      <c r="A27" s="6" t="s">
        <v>189</v>
      </c>
      <c r="B27" s="6" t="s">
        <v>190</v>
      </c>
      <c r="C27" s="6" t="str">
        <f t="shared" si="1"/>
        <v>Nathan Soares</v>
      </c>
      <c r="F27" s="5">
        <v>45923.0</v>
      </c>
      <c r="G27" s="5">
        <v>46874.0</v>
      </c>
      <c r="I27" s="6" t="s">
        <v>141</v>
      </c>
      <c r="J27" s="7">
        <f>IFERROR(__xludf.DUMMYFUNCTION("IF($C27 = """", """", IFNA(
  ROWS(
    FILTER(
      Events!$G$2:$G1000,
      Events!$B$2:$B1000 &gt;= TODAY() - 90,
      REGEXMATCH(
        "","" &amp; SUBSTITUTE(Events!$G$2:$G1000, "" "", """") &amp; "","",
        "","" &amp; SUBSTITUTE($C27, "" "", """") &amp; "","&amp;"""
      )
    )
  ),
0)
)"),0.0)</f>
        <v>0</v>
      </c>
      <c r="K27" s="7" t="str">
        <f t="shared" si="2"/>
        <v>NO</v>
      </c>
    </row>
    <row r="28">
      <c r="A28" s="6" t="s">
        <v>191</v>
      </c>
      <c r="B28" s="6" t="s">
        <v>192</v>
      </c>
      <c r="C28" s="6" t="str">
        <f t="shared" si="1"/>
        <v>Matthias Loop</v>
      </c>
      <c r="F28" s="5">
        <v>45923.0</v>
      </c>
      <c r="G28" s="5">
        <v>47239.0</v>
      </c>
      <c r="I28" s="6" t="s">
        <v>141</v>
      </c>
      <c r="J28" s="7">
        <f>IFERROR(__xludf.DUMMYFUNCTION("IF($C28 = """", """", IFNA(
  ROWS(
    FILTER(
      Events!$G$2:$G1000,
      Events!$B$2:$B1000 &gt;= TODAY() - 90,
      REGEXMATCH(
        "","" &amp; SUBSTITUTE(Events!$G$2:$G1000, "" "", """") &amp; "","",
        "","" &amp; SUBSTITUTE($C28, "" "", """") &amp; "","&amp;"""
      )
    )
  ),
0)
)"),1.0)</f>
        <v>1</v>
      </c>
      <c r="K28" s="7" t="str">
        <f t="shared" si="2"/>
        <v>NO</v>
      </c>
    </row>
    <row r="29">
      <c r="C29" s="6" t="str">
        <f t="shared" si="1"/>
        <v/>
      </c>
      <c r="I29" s="7"/>
      <c r="J29" s="7" t="str">
        <f>IFERROR(__xludf.DUMMYFUNCTION("IF($C29 = """", """", IFNA(
  ROWS(
    FILTER(
      Events!$G$2:$G1000,
      Events!$B$2:$B1000 &gt;= TODAY() - 90,
      REGEXMATCH(
        "","" &amp; SUBSTITUTE(Events!$G$2:$G1000, "" "", """") &amp; "","",
        "","" &amp; SUBSTITUTE($C29, "" "", """") &amp; "","&amp;"""
      )
    )
  ),
0)
)"),"")</f>
        <v/>
      </c>
      <c r="K29" s="7" t="str">
        <f t="shared" si="2"/>
        <v>#N/A</v>
      </c>
    </row>
    <row r="30">
      <c r="C30" s="6" t="str">
        <f t="shared" si="1"/>
        <v/>
      </c>
      <c r="I30" s="7"/>
      <c r="J30" s="7" t="str">
        <f>IFERROR(__xludf.DUMMYFUNCTION("IF($C30 = """", """", IFNA(
  ROWS(
    FILTER(
      Events!$G$2:$G1000,
      Events!$B$2:$B1000 &gt;= TODAY() - 90,
      REGEXMATCH(
        "","" &amp; SUBSTITUTE(Events!$G$2:$G1000, "" "", """") &amp; "","",
        "","" &amp; SUBSTITUTE($C30, "" "", """") &amp; "","&amp;"""
      )
    )
  ),
0)
)"),"")</f>
        <v/>
      </c>
      <c r="K30" s="7" t="str">
        <f t="shared" si="2"/>
        <v>#N/A</v>
      </c>
    </row>
    <row r="31">
      <c r="C31" s="6" t="str">
        <f t="shared" si="1"/>
        <v/>
      </c>
      <c r="I31" s="7"/>
      <c r="J31" s="7" t="str">
        <f>IFERROR(__xludf.DUMMYFUNCTION("IF($C31 = """", """", IFNA(
  ROWS(
    FILTER(
      Events!$G$2:$G1000,
      Events!$B$2:$B1000 &gt;= TODAY() - 90,
      REGEXMATCH(
        "","" &amp; SUBSTITUTE(Events!$G$2:$G1000, "" "", """") &amp; "","",
        "","" &amp; SUBSTITUTE($C31, "" "", """") &amp; "","&amp;"""
      )
    )
  ),
0)
)"),"")</f>
        <v/>
      </c>
      <c r="K31" s="7" t="str">
        <f t="shared" si="2"/>
        <v>#N/A</v>
      </c>
    </row>
    <row r="32">
      <c r="C32" s="6" t="str">
        <f t="shared" si="1"/>
        <v/>
      </c>
      <c r="I32" s="7"/>
      <c r="J32" s="7" t="str">
        <f>IFERROR(__xludf.DUMMYFUNCTION("IF($C32 = """", """", IFNA(
  ROWS(
    FILTER(
      Events!$G$2:$G1000,
      Events!$B$2:$B1000 &gt;= TODAY() - 90,
      REGEXMATCH(
        "","" &amp; SUBSTITUTE(Events!$G$2:$G1000, "" "", """") &amp; "","",
        "","" &amp; SUBSTITUTE($C32, "" "", """") &amp; "","&amp;"""
      )
    )
  ),
0)
)"),"")</f>
        <v/>
      </c>
      <c r="K32" s="7" t="str">
        <f t="shared" si="2"/>
        <v>#N/A</v>
      </c>
    </row>
    <row r="33">
      <c r="C33" s="6" t="str">
        <f t="shared" si="1"/>
        <v/>
      </c>
      <c r="I33" s="7"/>
      <c r="J33" s="7" t="str">
        <f>IFERROR(__xludf.DUMMYFUNCTION("IF($C33 = """", """", IFNA(
  ROWS(
    FILTER(
      Events!$G$2:$G1000,
      Events!$B$2:$B1000 &gt;= TODAY() - 90,
      REGEXMATCH(
        "","" &amp; SUBSTITUTE(Events!$G$2:$G1000, "" "", """") &amp; "","",
        "","" &amp; SUBSTITUTE($C33, "" "", """") &amp; "","&amp;"""
      )
    )
  ),
0)
)"),"")</f>
        <v/>
      </c>
      <c r="K33" s="7" t="str">
        <f t="shared" si="2"/>
        <v>#N/A</v>
      </c>
    </row>
    <row r="34">
      <c r="C34" s="6" t="str">
        <f t="shared" si="1"/>
        <v/>
      </c>
      <c r="I34" s="7"/>
      <c r="J34" s="7" t="str">
        <f>IFERROR(__xludf.DUMMYFUNCTION("IF($C34 = """", """", IFNA(
  ROWS(
    FILTER(
      Events!$G$2:$G1000,
      Events!$B$2:$B1000 &gt;= TODAY() - 90,
      REGEXMATCH(
        "","" &amp; SUBSTITUTE(Events!$G$2:$G1000, "" "", """") &amp; "","",
        "","" &amp; SUBSTITUTE($C34, "" "", """") &amp; "","&amp;"""
      )
    )
  ),
0)
)"),"")</f>
        <v/>
      </c>
      <c r="K34" s="7" t="str">
        <f t="shared" si="2"/>
        <v>#N/A</v>
      </c>
    </row>
    <row r="35">
      <c r="C35" s="6" t="str">
        <f t="shared" si="1"/>
        <v/>
      </c>
      <c r="I35" s="7"/>
      <c r="J35" s="7" t="str">
        <f>IFERROR(__xludf.DUMMYFUNCTION("IF($C35 = """", """", IFNA(
  ROWS(
    FILTER(
      Events!$G$2:$G1000,
      Events!$B$2:$B1000 &gt;= TODAY() - 90,
      REGEXMATCH(
        "","" &amp; SUBSTITUTE(Events!$G$2:$G1000, "" "", """") &amp; "","",
        "","" &amp; SUBSTITUTE($C35, "" "", """") &amp; "","&amp;"""
      )
    )
  ),
0)
)"),"")</f>
        <v/>
      </c>
      <c r="K35" s="7" t="str">
        <f t="shared" si="2"/>
        <v>#N/A</v>
      </c>
    </row>
    <row r="36">
      <c r="C36" s="6" t="str">
        <f t="shared" si="1"/>
        <v/>
      </c>
      <c r="I36" s="7"/>
      <c r="J36" s="7" t="str">
        <f>IFERROR(__xludf.DUMMYFUNCTION("IF($C36 = """", """", IFNA(
  ROWS(
    FILTER(
      Events!$G$2:$G1000,
      Events!$B$2:$B1000 &gt;= TODAY() - 90,
      REGEXMATCH(
        "","" &amp; SUBSTITUTE(Events!$G$2:$G1000, "" "", """") &amp; "","",
        "","" &amp; SUBSTITUTE($C36, "" "", """") &amp; "","&amp;"""
      )
    )
  ),
0)
)"),"")</f>
        <v/>
      </c>
      <c r="K36" s="7" t="str">
        <f t="shared" si="2"/>
        <v>#N/A</v>
      </c>
    </row>
    <row r="37">
      <c r="C37" s="6" t="str">
        <f t="shared" si="1"/>
        <v/>
      </c>
      <c r="I37" s="7"/>
      <c r="J37" s="7" t="str">
        <f>IFERROR(__xludf.DUMMYFUNCTION("IF($C37 = """", """", IFNA(
  ROWS(
    FILTER(
      Events!$G$2:$G1000,
      Events!$B$2:$B1000 &gt;= TODAY() - 90,
      REGEXMATCH(
        "","" &amp; SUBSTITUTE(Events!$G$2:$G1000, "" "", """") &amp; "","",
        "","" &amp; SUBSTITUTE($C37, "" "", """") &amp; "","&amp;"""
      )
    )
  ),
0)
)"),"")</f>
        <v/>
      </c>
      <c r="K37" s="7" t="str">
        <f t="shared" si="2"/>
        <v>#N/A</v>
      </c>
    </row>
    <row r="38">
      <c r="C38" s="6" t="str">
        <f t="shared" si="1"/>
        <v/>
      </c>
      <c r="I38" s="7"/>
      <c r="J38" s="7" t="str">
        <f>IFERROR(__xludf.DUMMYFUNCTION("IF($C38 = """", """", IFNA(
  ROWS(
    FILTER(
      Events!$G$2:$G1000,
      Events!$B$2:$B1000 &gt;= TODAY() - 90,
      REGEXMATCH(
        "","" &amp; SUBSTITUTE(Events!$G$2:$G1000, "" "", """") &amp; "","",
        "","" &amp; SUBSTITUTE($C38, "" "", """") &amp; "","&amp;"""
      )
    )
  ),
0)
)"),"")</f>
        <v/>
      </c>
      <c r="K38" s="7" t="str">
        <f t="shared" si="2"/>
        <v>#N/A</v>
      </c>
    </row>
    <row r="39">
      <c r="C39" s="6" t="str">
        <f t="shared" si="1"/>
        <v/>
      </c>
      <c r="I39" s="7"/>
      <c r="J39" s="7" t="str">
        <f>IFERROR(__xludf.DUMMYFUNCTION("IF($C39 = """", """", IFNA(
  ROWS(
    FILTER(
      Events!$G$2:$G1000,
      Events!$B$2:$B1000 &gt;= TODAY() - 90,
      REGEXMATCH(
        "","" &amp; SUBSTITUTE(Events!$G$2:$G1000, "" "", """") &amp; "","",
        "","" &amp; SUBSTITUTE($C39, "" "", """") &amp; "","&amp;"""
      )
    )
  ),
0)
)"),"")</f>
        <v/>
      </c>
      <c r="K39" s="7" t="str">
        <f t="shared" si="2"/>
        <v>#N/A</v>
      </c>
    </row>
    <row r="40">
      <c r="C40" s="6" t="str">
        <f t="shared" si="1"/>
        <v/>
      </c>
      <c r="I40" s="7"/>
      <c r="J40" s="7" t="str">
        <f>IFERROR(__xludf.DUMMYFUNCTION("IF($C40 = """", """", IFNA(
  ROWS(
    FILTER(
      Events!$G$2:$G1000,
      Events!$B$2:$B1000 &gt;= TODAY() - 90,
      REGEXMATCH(
        "","" &amp; SUBSTITUTE(Events!$G$2:$G1000, "" "", """") &amp; "","",
        "","" &amp; SUBSTITUTE($C40, "" "", """") &amp; "","&amp;"""
      )
    )
  ),
0)
)"),"")</f>
        <v/>
      </c>
      <c r="K40" s="7" t="str">
        <f t="shared" si="2"/>
        <v>#N/A</v>
      </c>
    </row>
    <row r="41">
      <c r="C41" s="6" t="str">
        <f t="shared" si="1"/>
        <v/>
      </c>
      <c r="I41" s="7"/>
      <c r="J41" s="7" t="str">
        <f>IFERROR(__xludf.DUMMYFUNCTION("IF($C41 = """", """", IFNA(
  ROWS(
    FILTER(
      Events!$G$2:$G1000,
      Events!$B$2:$B1000 &gt;= TODAY() - 90,
      REGEXMATCH(
        "","" &amp; SUBSTITUTE(Events!$G$2:$G1000, "" "", """") &amp; "","",
        "","" &amp; SUBSTITUTE($C41, "" "", """") &amp; "","&amp;"""
      )
    )
  ),
0)
)"),"")</f>
        <v/>
      </c>
      <c r="K41" s="7" t="str">
        <f t="shared" si="2"/>
        <v>#N/A</v>
      </c>
    </row>
    <row r="42">
      <c r="C42" s="6" t="str">
        <f t="shared" si="1"/>
        <v/>
      </c>
      <c r="I42" s="7"/>
      <c r="J42" s="7" t="str">
        <f>IFERROR(__xludf.DUMMYFUNCTION("IF($C42 = """", """", IFNA(
  ROWS(
    FILTER(
      Events!$G$2:$G1000,
      Events!$B$2:$B1000 &gt;= TODAY() - 90,
      REGEXMATCH(
        "","" &amp; SUBSTITUTE(Events!$G$2:$G1000, "" "", """") &amp; "","",
        "","" &amp; SUBSTITUTE($C42, "" "", """") &amp; "","&amp;"""
      )
    )
  ),
0)
)"),"")</f>
        <v/>
      </c>
      <c r="K42" s="7" t="str">
        <f t="shared" si="2"/>
        <v>#N/A</v>
      </c>
    </row>
    <row r="43">
      <c r="C43" s="6" t="str">
        <f t="shared" si="1"/>
        <v/>
      </c>
      <c r="I43" s="7"/>
      <c r="J43" s="7" t="str">
        <f>IFERROR(__xludf.DUMMYFUNCTION("IF($C43 = """", """", IFNA(
  ROWS(
    FILTER(
      Events!$G$2:$G1000,
      Events!$B$2:$B1000 &gt;= TODAY() - 90,
      REGEXMATCH(
        "","" &amp; SUBSTITUTE(Events!$G$2:$G1000, "" "", """") &amp; "","",
        "","" &amp; SUBSTITUTE($C43, "" "", """") &amp; "","&amp;"""
      )
    )
  ),
0)
)"),"")</f>
        <v/>
      </c>
      <c r="K43" s="7" t="str">
        <f t="shared" si="2"/>
        <v>#N/A</v>
      </c>
    </row>
    <row r="44">
      <c r="C44" s="6" t="str">
        <f t="shared" si="1"/>
        <v/>
      </c>
      <c r="I44" s="7"/>
      <c r="J44" s="7" t="str">
        <f>IFERROR(__xludf.DUMMYFUNCTION("IF($C44 = """", """", IFNA(
  ROWS(
    FILTER(
      Events!$G$2:$G1000,
      Events!$B$2:$B1000 &gt;= TODAY() - 90,
      REGEXMATCH(
        "","" &amp; SUBSTITUTE(Events!$G$2:$G1000, "" "", """") &amp; "","",
        "","" &amp; SUBSTITUTE($C44, "" "", """") &amp; "","&amp;"""
      )
    )
  ),
0)
)"),"")</f>
        <v/>
      </c>
      <c r="K44" s="7" t="str">
        <f t="shared" si="2"/>
        <v>#N/A</v>
      </c>
    </row>
    <row r="45">
      <c r="C45" s="6" t="str">
        <f t="shared" si="1"/>
        <v/>
      </c>
      <c r="I45" s="7"/>
      <c r="J45" s="7" t="str">
        <f>IFERROR(__xludf.DUMMYFUNCTION("IF($C45 = """", """", IFNA(
  ROWS(
    FILTER(
      Events!$G$2:$G1000,
      Events!$B$2:$B1000 &gt;= TODAY() - 90,
      REGEXMATCH(
        "","" &amp; SUBSTITUTE(Events!$G$2:$G1000, "" "", """") &amp; "","",
        "","" &amp; SUBSTITUTE($C45, "" "", """") &amp; "","&amp;"""
      )
    )
  ),
0)
)"),"")</f>
        <v/>
      </c>
      <c r="K45" s="7" t="str">
        <f t="shared" si="2"/>
        <v>#N/A</v>
      </c>
    </row>
    <row r="46">
      <c r="C46" s="6" t="str">
        <f t="shared" si="1"/>
        <v/>
      </c>
      <c r="I46" s="7"/>
      <c r="J46" s="7" t="str">
        <f>IFERROR(__xludf.DUMMYFUNCTION("IF($C46 = """", """", IFNA(
  ROWS(
    FILTER(
      Events!$G$2:$G1000,
      Events!$B$2:$B1000 &gt;= TODAY() - 90,
      REGEXMATCH(
        "","" &amp; SUBSTITUTE(Events!$G$2:$G1000, "" "", """") &amp; "","",
        "","" &amp; SUBSTITUTE($C46, "" "", """") &amp; "","&amp;"""
      )
    )
  ),
0)
)"),"")</f>
        <v/>
      </c>
      <c r="K46" s="7" t="str">
        <f t="shared" si="2"/>
        <v>#N/A</v>
      </c>
    </row>
    <row r="47">
      <c r="C47" s="6" t="str">
        <f t="shared" si="1"/>
        <v/>
      </c>
      <c r="I47" s="7"/>
      <c r="J47" s="7" t="str">
        <f>IFERROR(__xludf.DUMMYFUNCTION("IF($C47 = """", """", IFNA(
  ROWS(
    FILTER(
      Events!$G$2:$G1000,
      Events!$B$2:$B1000 &gt;= TODAY() - 90,
      REGEXMATCH(
        "","" &amp; SUBSTITUTE(Events!$G$2:$G1000, "" "", """") &amp; "","",
        "","" &amp; SUBSTITUTE($C47, "" "", """") &amp; "","&amp;"""
      )
    )
  ),
0)
)"),"")</f>
        <v/>
      </c>
      <c r="K47" s="7" t="str">
        <f t="shared" si="2"/>
        <v>#N/A</v>
      </c>
    </row>
    <row r="48">
      <c r="C48" s="6" t="str">
        <f t="shared" si="1"/>
        <v/>
      </c>
      <c r="I48" s="7"/>
      <c r="J48" s="7" t="str">
        <f>IFERROR(__xludf.DUMMYFUNCTION("IF($C48 = """", """", IFNA(
  ROWS(
    FILTER(
      Events!$G$2:$G1000,
      Events!$B$2:$B1000 &gt;= TODAY() - 90,
      REGEXMATCH(
        "","" &amp; SUBSTITUTE(Events!$G$2:$G1000, "" "", """") &amp; "","",
        "","" &amp; SUBSTITUTE($C48, "" "", """") &amp; "","&amp;"""
      )
    )
  ),
0)
)"),"")</f>
        <v/>
      </c>
      <c r="K48" s="7" t="str">
        <f t="shared" si="2"/>
        <v>#N/A</v>
      </c>
    </row>
    <row r="49">
      <c r="C49" s="6" t="str">
        <f t="shared" si="1"/>
        <v/>
      </c>
      <c r="I49" s="7"/>
      <c r="J49" s="7" t="str">
        <f>IFERROR(__xludf.DUMMYFUNCTION("IF($C49 = """", """", IFNA(
  ROWS(
    FILTER(
      Events!$G$2:$G1000,
      Events!$B$2:$B1000 &gt;= TODAY() - 90,
      REGEXMATCH(
        "","" &amp; SUBSTITUTE(Events!$G$2:$G1000, "" "", """") &amp; "","",
        "","" &amp; SUBSTITUTE($C49, "" "", """") &amp; "","&amp;"""
      )
    )
  ),
0)
)"),"")</f>
        <v/>
      </c>
      <c r="K49" s="7" t="str">
        <f t="shared" si="2"/>
        <v>#N/A</v>
      </c>
    </row>
    <row r="50">
      <c r="C50" s="6" t="str">
        <f t="shared" si="1"/>
        <v/>
      </c>
      <c r="I50" s="7"/>
      <c r="J50" s="7" t="str">
        <f>IFERROR(__xludf.DUMMYFUNCTION("IF($C50 = """", """", IFNA(
  ROWS(
    FILTER(
      Events!$G$2:$G1000,
      Events!$B$2:$B1000 &gt;= TODAY() - 90,
      REGEXMATCH(
        "","" &amp; SUBSTITUTE(Events!$G$2:$G1000, "" "", """") &amp; "","",
        "","" &amp; SUBSTITUTE($C50, "" "", """") &amp; "","&amp;"""
      )
    )
  ),
0)
)"),"")</f>
        <v/>
      </c>
      <c r="K50" s="7" t="str">
        <f t="shared" si="2"/>
        <v>#N/A</v>
      </c>
    </row>
    <row r="51">
      <c r="C51" s="6" t="str">
        <f t="shared" si="1"/>
        <v/>
      </c>
      <c r="J51" s="7" t="str">
        <f>IFERROR(__xludf.DUMMYFUNCTION("IF($C51 = """", """", IFNA(
  ROWS(
    FILTER(
      Events!$G$2:$G1000,
      Events!$B$2:$B1000 &gt;= TODAY() - 90,
      REGEXMATCH(
        "","" &amp; SUBSTITUTE(Events!$G$2:$G1000, "" "", """") &amp; "","",
        "","" &amp; SUBSTITUTE($C51, "" "", """") &amp; "","&amp;"""
      )
    )
  ),
0)
)"),"")</f>
        <v/>
      </c>
      <c r="K51" s="7" t="str">
        <f t="shared" si="2"/>
        <v>#N/A</v>
      </c>
    </row>
    <row r="52">
      <c r="C52" s="6" t="str">
        <f t="shared" si="1"/>
        <v/>
      </c>
      <c r="J52" s="7" t="str">
        <f>IFERROR(__xludf.DUMMYFUNCTION("IF($C52 = """", """", IFNA(
  ROWS(
    FILTER(
      Events!$G$2:$G1000,
      Events!$B$2:$B1000 &gt;= TODAY() - 90,
      REGEXMATCH(
        "","" &amp; SUBSTITUTE(Events!$G$2:$G1000, "" "", """") &amp; "","",
        "","" &amp; SUBSTITUTE($C52, "" "", """") &amp; "","&amp;"""
      )
    )
  ),
0)
)"),"")</f>
        <v/>
      </c>
      <c r="K52" s="7" t="str">
        <f t="shared" si="2"/>
        <v>#N/A</v>
      </c>
    </row>
    <row r="53">
      <c r="C53" s="6" t="str">
        <f t="shared" si="1"/>
        <v/>
      </c>
      <c r="J53" s="7" t="str">
        <f>IFERROR(__xludf.DUMMYFUNCTION("IF($C53 = """", """", IFNA(
  ROWS(
    FILTER(
      Events!$G$2:$G1000,
      Events!$B$2:$B1000 &gt;= TODAY() - 90,
      REGEXMATCH(
        "","" &amp; SUBSTITUTE(Events!$G$2:$G1000, "" "", """") &amp; "","",
        "","" &amp; SUBSTITUTE($C53, "" "", """") &amp; "","&amp;"""
      )
    )
  ),
0)
)"),"")</f>
        <v/>
      </c>
      <c r="K53" s="7" t="str">
        <f t="shared" si="2"/>
        <v>#N/A</v>
      </c>
    </row>
    <row r="54">
      <c r="C54" s="6" t="str">
        <f t="shared" si="1"/>
        <v/>
      </c>
      <c r="J54" s="7" t="str">
        <f>IFERROR(__xludf.DUMMYFUNCTION("IF($C54 = """", """", IFNA(
  ROWS(
    FILTER(
      Events!$G$2:$G1000,
      Events!$B$2:$B1000 &gt;= TODAY() - 90,
      REGEXMATCH(
        "","" &amp; SUBSTITUTE(Events!$G$2:$G1000, "" "", """") &amp; "","",
        "","" &amp; SUBSTITUTE($C54, "" "", """") &amp; "","&amp;"""
      )
    )
  ),
0)
)"),"")</f>
        <v/>
      </c>
      <c r="K54" s="7" t="str">
        <f t="shared" si="2"/>
        <v>#N/A</v>
      </c>
    </row>
    <row r="55">
      <c r="C55" s="6" t="str">
        <f t="shared" si="1"/>
        <v/>
      </c>
      <c r="J55" s="7" t="str">
        <f>IFERROR(__xludf.DUMMYFUNCTION("IF($C55 = """", """", IFNA(
  ROWS(
    FILTER(
      Events!$G$2:$G1000,
      Events!$B$2:$B1000 &gt;= TODAY() - 90,
      REGEXMATCH(
        "","" &amp; SUBSTITUTE(Events!$G$2:$G1000, "" "", """") &amp; "","",
        "","" &amp; SUBSTITUTE($C55, "" "", """") &amp; "","&amp;"""
      )
    )
  ),
0)
)"),"")</f>
        <v/>
      </c>
      <c r="K55" s="7" t="str">
        <f t="shared" si="2"/>
        <v>#N/A</v>
      </c>
    </row>
    <row r="56">
      <c r="C56" s="6" t="str">
        <f t="shared" si="1"/>
        <v/>
      </c>
      <c r="J56" s="7" t="str">
        <f>IFERROR(__xludf.DUMMYFUNCTION("IF($C56 = """", """", IFNA(
  ROWS(
    FILTER(
      Events!$G$2:$G1000,
      Events!$B$2:$B1000 &gt;= TODAY() - 90,
      REGEXMATCH(
        "","" &amp; SUBSTITUTE(Events!$G$2:$G1000, "" "", """") &amp; "","",
        "","" &amp; SUBSTITUTE($C56, "" "", """") &amp; "","&amp;"""
      )
    )
  ),
0)
)"),"")</f>
        <v/>
      </c>
      <c r="K56" s="7" t="str">
        <f t="shared" si="2"/>
        <v>#N/A</v>
      </c>
    </row>
    <row r="57">
      <c r="C57" s="6" t="str">
        <f t="shared" si="1"/>
        <v/>
      </c>
      <c r="J57" s="7" t="str">
        <f>IFERROR(__xludf.DUMMYFUNCTION("IF($C57 = """", """", IFNA(
  ROWS(
    FILTER(
      Events!$G$2:$G1000,
      Events!$B$2:$B1000 &gt;= TODAY() - 90,
      REGEXMATCH(
        "","" &amp; SUBSTITUTE(Events!$G$2:$G1000, "" "", """") &amp; "","",
        "","" &amp; SUBSTITUTE($C57, "" "", """") &amp; "","&amp;"""
      )
    )
  ),
0)
)"),"")</f>
        <v/>
      </c>
      <c r="K57" s="7" t="str">
        <f t="shared" si="2"/>
        <v>#N/A</v>
      </c>
    </row>
    <row r="58">
      <c r="C58" s="6" t="str">
        <f t="shared" si="1"/>
        <v/>
      </c>
      <c r="J58" s="7" t="str">
        <f>IFERROR(__xludf.DUMMYFUNCTION("IF($C58 = """", """", IFNA(
  ROWS(
    FILTER(
      Events!$G$2:$G1000,
      Events!$B$2:$B1000 &gt;= TODAY() - 90,
      REGEXMATCH(
        "","" &amp; SUBSTITUTE(Events!$G$2:$G1000, "" "", """") &amp; "","",
        "","" &amp; SUBSTITUTE($C58, "" "", """") &amp; "","&amp;"""
      )
    )
  ),
0)
)"),"")</f>
        <v/>
      </c>
      <c r="K58" s="7" t="str">
        <f t="shared" si="2"/>
        <v>#N/A</v>
      </c>
    </row>
    <row r="59">
      <c r="C59" s="6" t="str">
        <f t="shared" si="1"/>
        <v/>
      </c>
      <c r="J59" s="7" t="str">
        <f>IFERROR(__xludf.DUMMYFUNCTION("IF($C59 = """", """", IFNA(
  ROWS(
    FILTER(
      Events!$G$2:$G1000,
      Events!$B$2:$B1000 &gt;= TODAY() - 90,
      REGEXMATCH(
        "","" &amp; SUBSTITUTE(Events!$G$2:$G1000, "" "", """") &amp; "","",
        "","" &amp; SUBSTITUTE($C59, "" "", """") &amp; "","&amp;"""
      )
    )
  ),
0)
)"),"")</f>
        <v/>
      </c>
      <c r="K59" s="7" t="str">
        <f t="shared" si="2"/>
        <v>#N/A</v>
      </c>
    </row>
    <row r="60">
      <c r="C60" s="6" t="str">
        <f t="shared" si="1"/>
        <v/>
      </c>
      <c r="J60" s="7" t="str">
        <f>IFERROR(__xludf.DUMMYFUNCTION("IF($C60 = """", """", IFNA(
  ROWS(
    FILTER(
      Events!$G$2:$G1000,
      Events!$B$2:$B1000 &gt;= TODAY() - 90,
      REGEXMATCH(
        "","" &amp; SUBSTITUTE(Events!$G$2:$G1000, "" "", """") &amp; "","",
        "","" &amp; SUBSTITUTE($C60, "" "", """") &amp; "","&amp;"""
      )
    )
  ),
0)
)"),"")</f>
        <v/>
      </c>
      <c r="K60" s="7" t="str">
        <f t="shared" si="2"/>
        <v>#N/A</v>
      </c>
    </row>
    <row r="61">
      <c r="C61" s="6" t="str">
        <f t="shared" si="1"/>
        <v/>
      </c>
      <c r="J61" s="7" t="str">
        <f>IFERROR(__xludf.DUMMYFUNCTION("IF($C61 = """", """", IFNA(
  ROWS(
    FILTER(
      Events!$G$2:$G1000,
      Events!$B$2:$B1000 &gt;= TODAY() - 90,
      REGEXMATCH(
        "","" &amp; SUBSTITUTE(Events!$G$2:$G1000, "" "", """") &amp; "","",
        "","" &amp; SUBSTITUTE($C61, "" "", """") &amp; "","&amp;"""
      )
    )
  ),
0)
)"),"")</f>
        <v/>
      </c>
      <c r="K61" s="7" t="str">
        <f t="shared" si="2"/>
        <v>#N/A</v>
      </c>
    </row>
    <row r="62">
      <c r="C62" s="6" t="str">
        <f t="shared" si="1"/>
        <v/>
      </c>
      <c r="J62" s="7" t="str">
        <f>IFERROR(__xludf.DUMMYFUNCTION("IF($C62 = """", """", IFNA(
  ROWS(
    FILTER(
      Events!$G$2:$G1000,
      Events!$B$2:$B1000 &gt;= TODAY() - 90,
      REGEXMATCH(
        "","" &amp; SUBSTITUTE(Events!$G$2:$G1000, "" "", """") &amp; "","",
        "","" &amp; SUBSTITUTE($C62, "" "", """") &amp; "","&amp;"""
      )
    )
  ),
0)
)"),"")</f>
        <v/>
      </c>
      <c r="K62" s="7" t="str">
        <f t="shared" si="2"/>
        <v>#N/A</v>
      </c>
    </row>
    <row r="63">
      <c r="C63" s="6" t="str">
        <f t="shared" si="1"/>
        <v/>
      </c>
      <c r="J63" s="7" t="str">
        <f>IFERROR(__xludf.DUMMYFUNCTION("IF($C63 = """", """", IFNA(
  ROWS(
    FILTER(
      Events!$G$2:$G1000,
      Events!$B$2:$B1000 &gt;= TODAY() - 90,
      REGEXMATCH(
        "","" &amp; SUBSTITUTE(Events!$G$2:$G1000, "" "", """") &amp; "","",
        "","" &amp; SUBSTITUTE($C63, "" "", """") &amp; "","&amp;"""
      )
    )
  ),
0)
)"),"")</f>
        <v/>
      </c>
      <c r="K63" s="7" t="str">
        <f t="shared" si="2"/>
        <v>#N/A</v>
      </c>
    </row>
    <row r="64">
      <c r="C64" s="6" t="str">
        <f t="shared" si="1"/>
        <v/>
      </c>
      <c r="J64" s="7" t="str">
        <f>IFERROR(__xludf.DUMMYFUNCTION("IF($C64 = """", """", IFNA(
  ROWS(
    FILTER(
      Events!$G$2:$G1000,
      Events!$B$2:$B1000 &gt;= TODAY() - 90,
      REGEXMATCH(
        "","" &amp; SUBSTITUTE(Events!$G$2:$G1000, "" "", """") &amp; "","",
        "","" &amp; SUBSTITUTE($C64, "" "", """") &amp; "","&amp;"""
      )
    )
  ),
0)
)"),"")</f>
        <v/>
      </c>
      <c r="K64" s="7" t="str">
        <f t="shared" si="2"/>
        <v>#N/A</v>
      </c>
    </row>
    <row r="65">
      <c r="C65" s="6" t="str">
        <f t="shared" si="1"/>
        <v/>
      </c>
      <c r="J65" s="7" t="str">
        <f>IFERROR(__xludf.DUMMYFUNCTION("IF($C65 = """", """", IFNA(
  ROWS(
    FILTER(
      Events!$G$2:$G1000,
      Events!$B$2:$B1000 &gt;= TODAY() - 90,
      REGEXMATCH(
        "","" &amp; SUBSTITUTE(Events!$G$2:$G1000, "" "", """") &amp; "","",
        "","" &amp; SUBSTITUTE($C65, "" "", """") &amp; "","&amp;"""
      )
    )
  ),
0)
)"),"")</f>
        <v/>
      </c>
      <c r="K65" s="7" t="str">
        <f t="shared" si="2"/>
        <v>#N/A</v>
      </c>
    </row>
    <row r="66">
      <c r="C66" s="6" t="str">
        <f t="shared" si="1"/>
        <v/>
      </c>
      <c r="J66" s="7" t="str">
        <f>IFERROR(__xludf.DUMMYFUNCTION("IF($C66 = """", """", IFNA(
  ROWS(
    FILTER(
      Events!$G$2:$G1000,
      Events!$B$2:$B1000 &gt;= TODAY() - 90,
      REGEXMATCH(
        "","" &amp; SUBSTITUTE(Events!$G$2:$G1000, "" "", """") &amp; "","",
        "","" &amp; SUBSTITUTE($C66, "" "", """") &amp; "","&amp;"""
      )
    )
  ),
0)
)"),"")</f>
        <v/>
      </c>
      <c r="K66" s="7" t="str">
        <f t="shared" si="2"/>
        <v>#N/A</v>
      </c>
    </row>
    <row r="67">
      <c r="C67" s="6" t="str">
        <f t="shared" si="1"/>
        <v/>
      </c>
      <c r="J67" s="7" t="str">
        <f>IFERROR(__xludf.DUMMYFUNCTION("IF($C67 = """", """", IFNA(
  ROWS(
    FILTER(
      Events!$G$2:$G1000,
      Events!$B$2:$B1000 &gt;= TODAY() - 90,
      REGEXMATCH(
        "","" &amp; SUBSTITUTE(Events!$G$2:$G1000, "" "", """") &amp; "","",
        "","" &amp; SUBSTITUTE($C67, "" "", """") &amp; "","&amp;"""
      )
    )
  ),
0)
)"),"")</f>
        <v/>
      </c>
      <c r="K67" s="7" t="str">
        <f t="shared" si="2"/>
        <v>#N/A</v>
      </c>
    </row>
    <row r="68">
      <c r="C68" s="6" t="str">
        <f t="shared" si="1"/>
        <v/>
      </c>
      <c r="J68" s="7" t="str">
        <f>IFERROR(__xludf.DUMMYFUNCTION("IF($C68 = """", """", IFNA(
  ROWS(
    FILTER(
      Events!$G$2:$G1000,
      Events!$B$2:$B1000 &gt;= TODAY() - 90,
      REGEXMATCH(
        "","" &amp; SUBSTITUTE(Events!$G$2:$G1000, "" "", """") &amp; "","",
        "","" &amp; SUBSTITUTE($C68, "" "", """") &amp; "","&amp;"""
      )
    )
  ),
0)
)"),"")</f>
        <v/>
      </c>
      <c r="K68" s="7" t="str">
        <f t="shared" si="2"/>
        <v>#N/A</v>
      </c>
    </row>
    <row r="69">
      <c r="C69" s="6" t="str">
        <f t="shared" si="1"/>
        <v/>
      </c>
      <c r="J69" s="7" t="str">
        <f>IFERROR(__xludf.DUMMYFUNCTION("IF($C69 = """", """", IFNA(
  ROWS(
    FILTER(
      Events!$G$2:$G1000,
      Events!$B$2:$B1000 &gt;= TODAY() - 90,
      REGEXMATCH(
        "","" &amp; SUBSTITUTE(Events!$G$2:$G1000, "" "", """") &amp; "","",
        "","" &amp; SUBSTITUTE($C69, "" "", """") &amp; "","&amp;"""
      )
    )
  ),
0)
)"),"")</f>
        <v/>
      </c>
      <c r="K69" s="7" t="str">
        <f t="shared" si="2"/>
        <v>#N/A</v>
      </c>
    </row>
    <row r="70">
      <c r="C70" s="6" t="str">
        <f t="shared" si="1"/>
        <v/>
      </c>
      <c r="J70" s="7" t="str">
        <f>IFERROR(__xludf.DUMMYFUNCTION("IF($C70 = """", """", IFNA(
  ROWS(
    FILTER(
      Events!$G$2:$G1000,
      Events!$B$2:$B1000 &gt;= TODAY() - 90,
      REGEXMATCH(
        "","" &amp; SUBSTITUTE(Events!$G$2:$G1000, "" "", """") &amp; "","",
        "","" &amp; SUBSTITUTE($C70, "" "", """") &amp; "","&amp;"""
      )
    )
  ),
0)
)"),"")</f>
        <v/>
      </c>
      <c r="K70" s="7" t="str">
        <f t="shared" si="2"/>
        <v>#N/A</v>
      </c>
    </row>
    <row r="71">
      <c r="C71" s="6" t="str">
        <f t="shared" si="1"/>
        <v/>
      </c>
      <c r="J71" s="7" t="str">
        <f>IFERROR(__xludf.DUMMYFUNCTION("IF($C71 = """", """", IFNA(
  ROWS(
    FILTER(
      Events!$G$2:$G1000,
      Events!$B$2:$B1000 &gt;= TODAY() - 90,
      REGEXMATCH(
        "","" &amp; SUBSTITUTE(Events!$G$2:$G1000, "" "", """") &amp; "","",
        "","" &amp; SUBSTITUTE($C71, "" "", """") &amp; "","&amp;"""
      )
    )
  ),
0)
)"),"")</f>
        <v/>
      </c>
      <c r="K71" s="7" t="str">
        <f t="shared" si="2"/>
        <v>#N/A</v>
      </c>
    </row>
    <row r="72">
      <c r="C72" s="6" t="str">
        <f t="shared" si="1"/>
        <v/>
      </c>
      <c r="J72" s="7" t="str">
        <f>IFERROR(__xludf.DUMMYFUNCTION("IF($C72 = """", """", IFNA(
  ROWS(
    FILTER(
      Events!$G$2:$G1000,
      Events!$B$2:$B1000 &gt;= TODAY() - 90,
      REGEXMATCH(
        "","" &amp; SUBSTITUTE(Events!$G$2:$G1000, "" "", """") &amp; "","",
        "","" &amp; SUBSTITUTE($C72, "" "", """") &amp; "","&amp;"""
      )
    )
  ),
0)
)"),"")</f>
        <v/>
      </c>
      <c r="K72" s="7" t="str">
        <f t="shared" si="2"/>
        <v>#N/A</v>
      </c>
    </row>
    <row r="73">
      <c r="C73" s="6" t="str">
        <f t="shared" si="1"/>
        <v/>
      </c>
      <c r="J73" s="7" t="str">
        <f>IFERROR(__xludf.DUMMYFUNCTION("IF($C73 = """", """", IFNA(
  ROWS(
    FILTER(
      Events!$G$2:$G1000,
      Events!$B$2:$B1000 &gt;= TODAY() - 90,
      REGEXMATCH(
        "","" &amp; SUBSTITUTE(Events!$G$2:$G1000, "" "", """") &amp; "","",
        "","" &amp; SUBSTITUTE($C73, "" "", """") &amp; "","&amp;"""
      )
    )
  ),
0)
)"),"")</f>
        <v/>
      </c>
      <c r="K73" s="7" t="str">
        <f t="shared" si="2"/>
        <v>#N/A</v>
      </c>
    </row>
    <row r="74">
      <c r="C74" s="6" t="str">
        <f t="shared" si="1"/>
        <v/>
      </c>
      <c r="J74" s="7" t="str">
        <f>IFERROR(__xludf.DUMMYFUNCTION("IF($C74 = """", """", IFNA(
  ROWS(
    FILTER(
      Events!$G$2:$G1000,
      Events!$B$2:$B1000 &gt;= TODAY() - 90,
      REGEXMATCH(
        "","" &amp; SUBSTITUTE(Events!$G$2:$G1000, "" "", """") &amp; "","",
        "","" &amp; SUBSTITUTE($C74, "" "", """") &amp; "","&amp;"""
      )
    )
  ),
0)
)"),"")</f>
        <v/>
      </c>
      <c r="K74" s="7" t="str">
        <f t="shared" si="2"/>
        <v>#N/A</v>
      </c>
    </row>
    <row r="75">
      <c r="C75" s="6" t="str">
        <f t="shared" si="1"/>
        <v/>
      </c>
      <c r="J75" s="7" t="str">
        <f>IFERROR(__xludf.DUMMYFUNCTION("IF($C75 = """", """", IFNA(
  ROWS(
    FILTER(
      Events!$G$2:$G1000,
      Events!$B$2:$B1000 &gt;= TODAY() - 90,
      REGEXMATCH(
        "","" &amp; SUBSTITUTE(Events!$G$2:$G1000, "" "", """") &amp; "","",
        "","" &amp; SUBSTITUTE($C75, "" "", """") &amp; "","&amp;"""
      )
    )
  ),
0)
)"),"")</f>
        <v/>
      </c>
      <c r="K75" s="7" t="str">
        <f t="shared" si="2"/>
        <v>#N/A</v>
      </c>
    </row>
    <row r="76">
      <c r="C76" s="6" t="str">
        <f t="shared" si="1"/>
        <v/>
      </c>
      <c r="J76" s="7" t="str">
        <f>IFERROR(__xludf.DUMMYFUNCTION("IF($C76 = """", """", IFNA(
  ROWS(
    FILTER(
      Events!$G$2:$G1000,
      Events!$B$2:$B1000 &gt;= TODAY() - 90,
      REGEXMATCH(
        "","" &amp; SUBSTITUTE(Events!$G$2:$G1000, "" "", """") &amp; "","",
        "","" &amp; SUBSTITUTE($C76, "" "", """") &amp; "","&amp;"""
      )
    )
  ),
0)
)"),"")</f>
        <v/>
      </c>
      <c r="K76" s="7" t="str">
        <f t="shared" si="2"/>
        <v>#N/A</v>
      </c>
    </row>
    <row r="77">
      <c r="C77" s="6" t="str">
        <f t="shared" si="1"/>
        <v/>
      </c>
      <c r="J77" s="7" t="str">
        <f>IFERROR(__xludf.DUMMYFUNCTION("IF($C77 = """", """", IFNA(
  ROWS(
    FILTER(
      Events!$G$2:$G1000,
      Events!$B$2:$B1000 &gt;= TODAY() - 90,
      REGEXMATCH(
        "","" &amp; SUBSTITUTE(Events!$G$2:$G1000, "" "", """") &amp; "","",
        "","" &amp; SUBSTITUTE($C77, "" "", """") &amp; "","&amp;"""
      )
    )
  ),
0)
)"),"")</f>
        <v/>
      </c>
      <c r="K77" s="7" t="str">
        <f t="shared" si="2"/>
        <v>#N/A</v>
      </c>
    </row>
    <row r="78">
      <c r="C78" s="6" t="str">
        <f t="shared" si="1"/>
        <v/>
      </c>
      <c r="J78" s="7" t="str">
        <f>IFERROR(__xludf.DUMMYFUNCTION("IF($C78 = """", """", IFNA(
  ROWS(
    FILTER(
      Events!$G$2:$G1000,
      Events!$B$2:$B1000 &gt;= TODAY() - 90,
      REGEXMATCH(
        "","" &amp; SUBSTITUTE(Events!$G$2:$G1000, "" "", """") &amp; "","",
        "","" &amp; SUBSTITUTE($C78, "" "", """") &amp; "","&amp;"""
      )
    )
  ),
0)
)"),"")</f>
        <v/>
      </c>
      <c r="K78" s="7" t="str">
        <f t="shared" si="2"/>
        <v>#N/A</v>
      </c>
    </row>
    <row r="79">
      <c r="C79" s="6" t="str">
        <f t="shared" si="1"/>
        <v/>
      </c>
      <c r="J79" s="7" t="str">
        <f>IFERROR(__xludf.DUMMYFUNCTION("IF($C79 = """", """", IFNA(
  ROWS(
    FILTER(
      Events!$G$2:$G1000,
      Events!$B$2:$B1000 &gt;= TODAY() - 90,
      REGEXMATCH(
        "","" &amp; SUBSTITUTE(Events!$G$2:$G1000, "" "", """") &amp; "","",
        "","" &amp; SUBSTITUTE($C79, "" "", """") &amp; "","&amp;"""
      )
    )
  ),
0)
)"),"")</f>
        <v/>
      </c>
      <c r="K79" s="7" t="str">
        <f t="shared" si="2"/>
        <v>#N/A</v>
      </c>
    </row>
    <row r="80">
      <c r="C80" s="6" t="str">
        <f t="shared" si="1"/>
        <v/>
      </c>
      <c r="J80" s="7" t="str">
        <f>IFERROR(__xludf.DUMMYFUNCTION("IF($C80 = """", """", IFNA(
  ROWS(
    FILTER(
      Events!$G$2:$G1000,
      Events!$B$2:$B1000 &gt;= TODAY() - 90,
      REGEXMATCH(
        "","" &amp; SUBSTITUTE(Events!$G$2:$G1000, "" "", """") &amp; "","",
        "","" &amp; SUBSTITUTE($C80, "" "", """") &amp; "","&amp;"""
      )
    )
  ),
0)
)"),"")</f>
        <v/>
      </c>
      <c r="K80" s="7" t="str">
        <f t="shared" si="2"/>
        <v>#N/A</v>
      </c>
    </row>
    <row r="81">
      <c r="C81" s="6" t="str">
        <f t="shared" si="1"/>
        <v/>
      </c>
      <c r="J81" s="7" t="str">
        <f>IFERROR(__xludf.DUMMYFUNCTION("IF($C81 = """", """", IFNA(
  ROWS(
    FILTER(
      Events!$G$2:$G1000,
      Events!$B$2:$B1000 &gt;= TODAY() - 90,
      REGEXMATCH(
        "","" &amp; SUBSTITUTE(Events!$G$2:$G1000, "" "", """") &amp; "","",
        "","" &amp; SUBSTITUTE($C81, "" "", """") &amp; "","&amp;"""
      )
    )
  ),
0)
)"),"")</f>
        <v/>
      </c>
      <c r="K81" s="7" t="str">
        <f t="shared" si="2"/>
        <v>#N/A</v>
      </c>
    </row>
    <row r="82">
      <c r="C82" s="6" t="str">
        <f t="shared" si="1"/>
        <v/>
      </c>
      <c r="J82" s="7" t="str">
        <f>IFERROR(__xludf.DUMMYFUNCTION("IF($C82 = """", """", IFNA(
  ROWS(
    FILTER(
      Events!$G$2:$G1000,
      Events!$B$2:$B1000 &gt;= TODAY() - 90,
      REGEXMATCH(
        "","" &amp; SUBSTITUTE(Events!$G$2:$G1000, "" "", """") &amp; "","",
        "","" &amp; SUBSTITUTE($C82, "" "", """") &amp; "","&amp;"""
      )
    )
  ),
0)
)"),"")</f>
        <v/>
      </c>
      <c r="K82" s="7" t="str">
        <f t="shared" si="2"/>
        <v>#N/A</v>
      </c>
    </row>
    <row r="83">
      <c r="C83" s="6" t="str">
        <f t="shared" si="1"/>
        <v/>
      </c>
      <c r="J83" s="7" t="str">
        <f>IFERROR(__xludf.DUMMYFUNCTION("IF($C83 = """", """", IFNA(
  ROWS(
    FILTER(
      Events!$G$2:$G1000,
      Events!$B$2:$B1000 &gt;= TODAY() - 90,
      REGEXMATCH(
        "","" &amp; SUBSTITUTE(Events!$G$2:$G1000, "" "", """") &amp; "","",
        "","" &amp; SUBSTITUTE($C83, "" "", """") &amp; "","&amp;"""
      )
    )
  ),
0)
)"),"")</f>
        <v/>
      </c>
      <c r="K83" s="7" t="str">
        <f t="shared" si="2"/>
        <v>#N/A</v>
      </c>
    </row>
    <row r="84">
      <c r="C84" s="6" t="str">
        <f t="shared" si="1"/>
        <v/>
      </c>
      <c r="J84" s="7" t="str">
        <f>IFERROR(__xludf.DUMMYFUNCTION("IF($C84 = """", """", IFNA(
  ROWS(
    FILTER(
      Events!$G$2:$G1000,
      Events!$B$2:$B1000 &gt;= TODAY() - 90,
      REGEXMATCH(
        "","" &amp; SUBSTITUTE(Events!$G$2:$G1000, "" "", """") &amp; "","",
        "","" &amp; SUBSTITUTE($C84, "" "", """") &amp; "","&amp;"""
      )
    )
  ),
0)
)"),"")</f>
        <v/>
      </c>
      <c r="K84" s="7" t="str">
        <f t="shared" si="2"/>
        <v>#N/A</v>
      </c>
    </row>
    <row r="85">
      <c r="C85" s="6" t="str">
        <f t="shared" si="1"/>
        <v/>
      </c>
      <c r="J85" s="7" t="str">
        <f>IFERROR(__xludf.DUMMYFUNCTION("IF($C85 = """", """", IFNA(
  ROWS(
    FILTER(
      Events!$G$2:$G1000,
      Events!$B$2:$B1000 &gt;= TODAY() - 90,
      REGEXMATCH(
        "","" &amp; SUBSTITUTE(Events!$G$2:$G1000, "" "", """") &amp; "","",
        "","" &amp; SUBSTITUTE($C85, "" "", """") &amp; "","&amp;"""
      )
    )
  ),
0)
)"),"")</f>
        <v/>
      </c>
      <c r="K85" s="7" t="str">
        <f t="shared" si="2"/>
        <v>#N/A</v>
      </c>
    </row>
    <row r="86">
      <c r="C86" s="6" t="str">
        <f t="shared" si="1"/>
        <v/>
      </c>
      <c r="J86" s="7" t="str">
        <f>IFERROR(__xludf.DUMMYFUNCTION("IF($C86 = """", """", IFNA(
  ROWS(
    FILTER(
      Events!$G$2:$G1000,
      Events!$B$2:$B1000 &gt;= TODAY() - 90,
      REGEXMATCH(
        "","" &amp; SUBSTITUTE(Events!$G$2:$G1000, "" "", """") &amp; "","",
        "","" &amp; SUBSTITUTE($C86, "" "", """") &amp; "","&amp;"""
      )
    )
  ),
0)
)"),"")</f>
        <v/>
      </c>
      <c r="K86" s="7" t="str">
        <f t="shared" si="2"/>
        <v>#N/A</v>
      </c>
    </row>
    <row r="87">
      <c r="C87" s="6" t="str">
        <f t="shared" si="1"/>
        <v/>
      </c>
      <c r="J87" s="7" t="str">
        <f>IFERROR(__xludf.DUMMYFUNCTION("IF($C87 = """", """", IFNA(
  ROWS(
    FILTER(
      Events!$G$2:$G1000,
      Events!$B$2:$B1000 &gt;= TODAY() - 90,
      REGEXMATCH(
        "","" &amp; SUBSTITUTE(Events!$G$2:$G1000, "" "", """") &amp; "","",
        "","" &amp; SUBSTITUTE($C87, "" "", """") &amp; "","&amp;"""
      )
    )
  ),
0)
)"),"")</f>
        <v/>
      </c>
      <c r="K87" s="7" t="str">
        <f t="shared" si="2"/>
        <v>#N/A</v>
      </c>
    </row>
    <row r="88">
      <c r="C88" s="6" t="str">
        <f t="shared" si="1"/>
        <v/>
      </c>
      <c r="J88" s="7" t="str">
        <f>IFERROR(__xludf.DUMMYFUNCTION("IF($C88 = """", """", IFNA(
  ROWS(
    FILTER(
      Events!$G$2:$G1000,
      Events!$B$2:$B1000 &gt;= TODAY() - 90,
      REGEXMATCH(
        "","" &amp; SUBSTITUTE(Events!$G$2:$G1000, "" "", """") &amp; "","",
        "","" &amp; SUBSTITUTE($C88, "" "", """") &amp; "","&amp;"""
      )
    )
  ),
0)
)"),"")</f>
        <v/>
      </c>
      <c r="K88" s="7" t="str">
        <f t="shared" si="2"/>
        <v>#N/A</v>
      </c>
    </row>
    <row r="89">
      <c r="C89" s="6" t="str">
        <f t="shared" si="1"/>
        <v/>
      </c>
      <c r="J89" s="7" t="str">
        <f>IFERROR(__xludf.DUMMYFUNCTION("IF($C89 = """", """", IFNA(
  ROWS(
    FILTER(
      Events!$G$2:$G1000,
      Events!$B$2:$B1000 &gt;= TODAY() - 90,
      REGEXMATCH(
        "","" &amp; SUBSTITUTE(Events!$G$2:$G1000, "" "", """") &amp; "","",
        "","" &amp; SUBSTITUTE($C89, "" "", """") &amp; "","&amp;"""
      )
    )
  ),
0)
)"),"")</f>
        <v/>
      </c>
      <c r="K89" s="7" t="str">
        <f t="shared" si="2"/>
        <v>#N/A</v>
      </c>
    </row>
    <row r="90">
      <c r="C90" s="6" t="str">
        <f t="shared" si="1"/>
        <v/>
      </c>
      <c r="J90" s="7" t="str">
        <f>IFERROR(__xludf.DUMMYFUNCTION("IF($C90 = """", """", IFNA(
  ROWS(
    FILTER(
      Events!$G$2:$G1000,
      Events!$B$2:$B1000 &gt;= TODAY() - 90,
      REGEXMATCH(
        "","" &amp; SUBSTITUTE(Events!$G$2:$G1000, "" "", """") &amp; "","",
        "","" &amp; SUBSTITUTE($C90, "" "", """") &amp; "","&amp;"""
      )
    )
  ),
0)
)"),"")</f>
        <v/>
      </c>
      <c r="K90" s="7" t="str">
        <f t="shared" si="2"/>
        <v>#N/A</v>
      </c>
    </row>
    <row r="91">
      <c r="C91" s="6" t="str">
        <f t="shared" si="1"/>
        <v/>
      </c>
      <c r="J91" s="7" t="str">
        <f>IFERROR(__xludf.DUMMYFUNCTION("IF($C91 = """", """", IFNA(
  ROWS(
    FILTER(
      Events!$G$2:$G1000,
      Events!$B$2:$B1000 &gt;= TODAY() - 90,
      REGEXMATCH(
        "","" &amp; SUBSTITUTE(Events!$G$2:$G1000, "" "", """") &amp; "","",
        "","" &amp; SUBSTITUTE($C91, "" "", """") &amp; "","&amp;"""
      )
    )
  ),
0)
)"),"")</f>
        <v/>
      </c>
      <c r="K91" s="7" t="str">
        <f t="shared" si="2"/>
        <v>#N/A</v>
      </c>
    </row>
    <row r="92">
      <c r="C92" s="6" t="str">
        <f t="shared" si="1"/>
        <v/>
      </c>
      <c r="J92" s="7" t="str">
        <f>IFERROR(__xludf.DUMMYFUNCTION("IF($C92 = """", """", IFNA(
  ROWS(
    FILTER(
      Events!$G$2:$G1000,
      Events!$B$2:$B1000 &gt;= TODAY() - 90,
      REGEXMATCH(
        "","" &amp; SUBSTITUTE(Events!$G$2:$G1000, "" "", """") &amp; "","",
        "","" &amp; SUBSTITUTE($C92, "" "", """") &amp; "","&amp;"""
      )
    )
  ),
0)
)"),"")</f>
        <v/>
      </c>
      <c r="K92" s="7" t="str">
        <f t="shared" si="2"/>
        <v>#N/A</v>
      </c>
    </row>
    <row r="93">
      <c r="C93" s="6" t="str">
        <f t="shared" si="1"/>
        <v/>
      </c>
      <c r="J93" s="7" t="str">
        <f>IFERROR(__xludf.DUMMYFUNCTION("IF($C93 = """", """", IFNA(
  ROWS(
    FILTER(
      Events!$G$2:$G1000,
      Events!$B$2:$B1000 &gt;= TODAY() - 90,
      REGEXMATCH(
        "","" &amp; SUBSTITUTE(Events!$G$2:$G1000, "" "", """") &amp; "","",
        "","" &amp; SUBSTITUTE($C93, "" "", """") &amp; "","&amp;"""
      )
    )
  ),
0)
)"),"")</f>
        <v/>
      </c>
      <c r="K93" s="7" t="str">
        <f t="shared" si="2"/>
        <v>#N/A</v>
      </c>
    </row>
    <row r="94">
      <c r="C94" s="6" t="str">
        <f t="shared" si="1"/>
        <v/>
      </c>
      <c r="J94" s="7" t="str">
        <f>IFERROR(__xludf.DUMMYFUNCTION("IF($C94 = """", """", IFNA(
  ROWS(
    FILTER(
      Events!$G$2:$G1000,
      Events!$B$2:$B1000 &gt;= TODAY() - 90,
      REGEXMATCH(
        "","" &amp; SUBSTITUTE(Events!$G$2:$G1000, "" "", """") &amp; "","",
        "","" &amp; SUBSTITUTE($C94, "" "", """") &amp; "","&amp;"""
      )
    )
  ),
0)
)"),"")</f>
        <v/>
      </c>
      <c r="K94" s="7" t="str">
        <f t="shared" si="2"/>
        <v>#N/A</v>
      </c>
    </row>
    <row r="95">
      <c r="C95" s="6" t="str">
        <f t="shared" si="1"/>
        <v/>
      </c>
      <c r="J95" s="7" t="str">
        <f>IFERROR(__xludf.DUMMYFUNCTION("IF($C95 = """", """", IFNA(
  ROWS(
    FILTER(
      Events!$G$2:$G1000,
      Events!$B$2:$B1000 &gt;= TODAY() - 90,
      REGEXMATCH(
        "","" &amp; SUBSTITUTE(Events!$G$2:$G1000, "" "", """") &amp; "","",
        "","" &amp; SUBSTITUTE($C95, "" "", """") &amp; "","&amp;"""
      )
    )
  ),
0)
)"),"")</f>
        <v/>
      </c>
      <c r="K95" s="7" t="str">
        <f t="shared" si="2"/>
        <v>#N/A</v>
      </c>
    </row>
    <row r="96">
      <c r="C96" s="6" t="str">
        <f t="shared" si="1"/>
        <v/>
      </c>
      <c r="J96" s="7" t="str">
        <f>IFERROR(__xludf.DUMMYFUNCTION("IF($C96 = """", """", IFNA(
  ROWS(
    FILTER(
      Events!$G$2:$G1000,
      Events!$B$2:$B1000 &gt;= TODAY() - 90,
      REGEXMATCH(
        "","" &amp; SUBSTITUTE(Events!$G$2:$G1000, "" "", """") &amp; "","",
        "","" &amp; SUBSTITUTE($C96, "" "", """") &amp; "","&amp;"""
      )
    )
  ),
0)
)"),"")</f>
        <v/>
      </c>
      <c r="K96" s="7" t="str">
        <f t="shared" si="2"/>
        <v>#N/A</v>
      </c>
    </row>
    <row r="97">
      <c r="C97" s="6" t="str">
        <f t="shared" si="1"/>
        <v/>
      </c>
      <c r="J97" s="7" t="str">
        <f>IFERROR(__xludf.DUMMYFUNCTION("IF($C97 = """", """", IFNA(
  ROWS(
    FILTER(
      Events!$G$2:$G1000,
      Events!$B$2:$B1000 &gt;= TODAY() - 90,
      REGEXMATCH(
        "","" &amp; SUBSTITUTE(Events!$G$2:$G1000, "" "", """") &amp; "","",
        "","" &amp; SUBSTITUTE($C97, "" "", """") &amp; "","&amp;"""
      )
    )
  ),
0)
)"),"")</f>
        <v/>
      </c>
      <c r="K97" s="7" t="str">
        <f t="shared" si="2"/>
        <v>#N/A</v>
      </c>
    </row>
    <row r="98">
      <c r="C98" s="6" t="str">
        <f t="shared" si="1"/>
        <v/>
      </c>
      <c r="J98" s="7" t="str">
        <f>IFERROR(__xludf.DUMMYFUNCTION("IF($C98 = """", """", IFNA(
  ROWS(
    FILTER(
      Events!$G$2:$G1000,
      Events!$B$2:$B1000 &gt;= TODAY() - 90,
      REGEXMATCH(
        "","" &amp; SUBSTITUTE(Events!$G$2:$G1000, "" "", """") &amp; "","",
        "","" &amp; SUBSTITUTE($C98, "" "", """") &amp; "","&amp;"""
      )
    )
  ),
0)
)"),"")</f>
        <v/>
      </c>
      <c r="K98" s="7" t="str">
        <f t="shared" si="2"/>
        <v>#N/A</v>
      </c>
    </row>
    <row r="99">
      <c r="C99" s="6" t="str">
        <f t="shared" si="1"/>
        <v/>
      </c>
      <c r="J99" s="7" t="str">
        <f>IFERROR(__xludf.DUMMYFUNCTION("IF($C99 = """", """", IFNA(
  ROWS(
    FILTER(
      Events!$G$2:$G1000,
      Events!$B$2:$B1000 &gt;= TODAY() - 90,
      REGEXMATCH(
        "","" &amp; SUBSTITUTE(Events!$G$2:$G1000, "" "", """") &amp; "","",
        "","" &amp; SUBSTITUTE($C99, "" "", """") &amp; "","&amp;"""
      )
    )
  ),
0)
)"),"")</f>
        <v/>
      </c>
      <c r="K99" s="7" t="str">
        <f t="shared" si="2"/>
        <v>#N/A</v>
      </c>
    </row>
    <row r="100">
      <c r="C100" s="6" t="str">
        <f t="shared" si="1"/>
        <v/>
      </c>
      <c r="J100" s="7" t="str">
        <f>IFERROR(__xludf.DUMMYFUNCTION("IF($C100 = """", """", IFNA(
  ROWS(
    FILTER(
      Events!$G$2:$G1000,
      Events!$B$2:$B1000 &gt;= TODAY() - 90,
      REGEXMATCH(
        "","" &amp; SUBSTITUTE(Events!$G$2:$G1000, "" "", """") &amp; "","",
        "","" &amp; SUBSTITUTE($C100, "" "", """") &amp; """&amp;",""
      )
    )
  ),
0)
)"),"")</f>
        <v/>
      </c>
      <c r="K100" s="7" t="str">
        <f t="shared" si="2"/>
        <v>#N/A</v>
      </c>
    </row>
    <row r="101">
      <c r="C101" s="6" t="str">
        <f t="shared" si="1"/>
        <v/>
      </c>
      <c r="J101" s="7" t="str">
        <f>IFERROR(__xludf.DUMMYFUNCTION("IF($C101 = """", """", IFNA(
  ROWS(
    FILTER(
      Events!$G$2:$G1000,
      Events!$B$2:$B1000 &gt;= TODAY() - 90,
      REGEXMATCH(
        "","" &amp; SUBSTITUTE(Events!$G$2:$G1000, "" "", """") &amp; "","",
        "","" &amp; SUBSTITUTE($C101, "" "", """") &amp; """&amp;",""
      )
    )
  ),
0)
)"),"")</f>
        <v/>
      </c>
      <c r="K101" s="7" t="str">
        <f t="shared" si="2"/>
        <v>#N/A</v>
      </c>
    </row>
    <row r="102">
      <c r="C102" s="6" t="str">
        <f t="shared" si="1"/>
        <v/>
      </c>
      <c r="J102" s="7" t="str">
        <f>IFERROR(__xludf.DUMMYFUNCTION("IF($C102 = """", """", IFNA(
  ROWS(
    FILTER(
      Events!$G$2:$G1000,
      Events!$B$2:$B1000 &gt;= TODAY() - 90,
      REGEXMATCH(
        "","" &amp; SUBSTITUTE(Events!$G$2:$G1000, "" "", """") &amp; "","",
        "","" &amp; SUBSTITUTE($C102, "" "", """") &amp; """&amp;",""
      )
    )
  ),
0)
)"),"")</f>
        <v/>
      </c>
      <c r="K102" s="7" t="str">
        <f t="shared" si="2"/>
        <v>#N/A</v>
      </c>
    </row>
    <row r="103">
      <c r="C103" s="6" t="str">
        <f t="shared" si="1"/>
        <v/>
      </c>
      <c r="J103" s="7" t="str">
        <f>IFERROR(__xludf.DUMMYFUNCTION("IF($C103 = """", """", IFNA(
  ROWS(
    FILTER(
      Events!$G$2:$G1000,
      Events!$B$2:$B1000 &gt;= TODAY() - 90,
      REGEXMATCH(
        "","" &amp; SUBSTITUTE(Events!$G$2:$G1000, "" "", """") &amp; "","",
        "","" &amp; SUBSTITUTE($C103, "" "", """") &amp; """&amp;",""
      )
    )
  ),
0)
)"),"")</f>
        <v/>
      </c>
      <c r="K103" s="7" t="str">
        <f t="shared" si="2"/>
        <v>#N/A</v>
      </c>
    </row>
    <row r="104">
      <c r="C104" s="6" t="str">
        <f t="shared" si="1"/>
        <v/>
      </c>
      <c r="J104" s="7" t="str">
        <f>IFERROR(__xludf.DUMMYFUNCTION("IF($C104 = """", """", IFNA(
  ROWS(
    FILTER(
      Events!$G$2:$G1000,
      Events!$B$2:$B1000 &gt;= TODAY() - 90,
      REGEXMATCH(
        "","" &amp; SUBSTITUTE(Events!$G$2:$G1000, "" "", """") &amp; "","",
        "","" &amp; SUBSTITUTE($C104, "" "", """") &amp; """&amp;",""
      )
    )
  ),
0)
)"),"")</f>
        <v/>
      </c>
      <c r="K104" s="7" t="str">
        <f t="shared" si="2"/>
        <v>#N/A</v>
      </c>
    </row>
    <row r="105">
      <c r="C105" s="6" t="str">
        <f t="shared" si="1"/>
        <v/>
      </c>
      <c r="J105" s="7" t="str">
        <f>IFERROR(__xludf.DUMMYFUNCTION("IF($C105 = """", """", IFNA(
  ROWS(
    FILTER(
      Events!$G$2:$G1000,
      Events!$B$2:$B1000 &gt;= TODAY() - 90,
      REGEXMATCH(
        "","" &amp; SUBSTITUTE(Events!$G$2:$G1000, "" "", """") &amp; "","",
        "","" &amp; SUBSTITUTE($C105, "" "", """") &amp; """&amp;",""
      )
    )
  ),
0)
)"),"")</f>
        <v/>
      </c>
      <c r="K105" s="7" t="str">
        <f t="shared" si="2"/>
        <v>#N/A</v>
      </c>
    </row>
    <row r="106">
      <c r="C106" s="6" t="str">
        <f t="shared" si="1"/>
        <v/>
      </c>
      <c r="J106" s="7" t="str">
        <f>IFERROR(__xludf.DUMMYFUNCTION("IF($C106 = """", """", IFNA(
  ROWS(
    FILTER(
      Events!$G$2:$G1000,
      Events!$B$2:$B1000 &gt;= TODAY() - 90,
      REGEXMATCH(
        "","" &amp; SUBSTITUTE(Events!$G$2:$G1000, "" "", """") &amp; "","",
        "","" &amp; SUBSTITUTE($C106, "" "", """") &amp; """&amp;",""
      )
    )
  ),
0)
)"),"")</f>
        <v/>
      </c>
      <c r="K106" s="7" t="str">
        <f t="shared" si="2"/>
        <v>#N/A</v>
      </c>
    </row>
    <row r="107">
      <c r="C107" s="6" t="str">
        <f t="shared" si="1"/>
        <v/>
      </c>
      <c r="J107" s="7" t="str">
        <f>IFERROR(__xludf.DUMMYFUNCTION("IF($C107 = """", """", IFNA(
  ROWS(
    FILTER(
      Events!$G$2:$G1000,
      Events!$B$2:$B1000 &gt;= TODAY() - 90,
      REGEXMATCH(
        "","" &amp; SUBSTITUTE(Events!$G$2:$G1000, "" "", """") &amp; "","",
        "","" &amp; SUBSTITUTE($C107, "" "", """") &amp; """&amp;",""
      )
    )
  ),
0)
)"),"")</f>
        <v/>
      </c>
      <c r="K107" s="7" t="str">
        <f t="shared" si="2"/>
        <v>#N/A</v>
      </c>
    </row>
    <row r="108">
      <c r="C108" s="6" t="str">
        <f t="shared" si="1"/>
        <v/>
      </c>
      <c r="J108" s="7" t="str">
        <f>IFERROR(__xludf.DUMMYFUNCTION("IF($C108 = """", """", IFNA(
  ROWS(
    FILTER(
      Events!$G$2:$G1000,
      Events!$B$2:$B1000 &gt;= TODAY() - 90,
      REGEXMATCH(
        "","" &amp; SUBSTITUTE(Events!$G$2:$G1000, "" "", """") &amp; "","",
        "","" &amp; SUBSTITUTE($C108, "" "", """") &amp; """&amp;",""
      )
    )
  ),
0)
)"),"")</f>
        <v/>
      </c>
      <c r="K108" s="7" t="str">
        <f t="shared" si="2"/>
        <v>#N/A</v>
      </c>
    </row>
    <row r="109">
      <c r="C109" s="6" t="str">
        <f t="shared" si="1"/>
        <v/>
      </c>
      <c r="J109" s="7" t="str">
        <f>IFERROR(__xludf.DUMMYFUNCTION("IF($C109 = """", """", IFNA(
  ROWS(
    FILTER(
      Events!$G$2:$G1000,
      Events!$B$2:$B1000 &gt;= TODAY() - 90,
      REGEXMATCH(
        "","" &amp; SUBSTITUTE(Events!$G$2:$G1000, "" "", """") &amp; "","",
        "","" &amp; SUBSTITUTE($C109, "" "", """") &amp; """&amp;",""
      )
    )
  ),
0)
)"),"")</f>
        <v/>
      </c>
      <c r="K109" s="7" t="str">
        <f t="shared" si="2"/>
        <v>#N/A</v>
      </c>
    </row>
    <row r="110">
      <c r="C110" s="6" t="str">
        <f t="shared" si="1"/>
        <v/>
      </c>
      <c r="J110" s="7" t="str">
        <f>IFERROR(__xludf.DUMMYFUNCTION("IF($C110 = """", """", IFNA(
  ROWS(
    FILTER(
      Events!$G$2:$G1000,
      Events!$B$2:$B1000 &gt;= TODAY() - 90,
      REGEXMATCH(
        "","" &amp; SUBSTITUTE(Events!$G$2:$G1000, "" "", """") &amp; "","",
        "","" &amp; SUBSTITUTE($C110, "" "", """") &amp; """&amp;",""
      )
    )
  ),
0)
)"),"")</f>
        <v/>
      </c>
      <c r="K110" s="7" t="str">
        <f t="shared" si="2"/>
        <v>#N/A</v>
      </c>
    </row>
    <row r="111">
      <c r="C111" s="6" t="str">
        <f t="shared" si="1"/>
        <v/>
      </c>
      <c r="J111" s="7" t="str">
        <f>IFERROR(__xludf.DUMMYFUNCTION("IF($C111 = """", """", IFNA(
  ROWS(
    FILTER(
      Events!$G$2:$G1000,
      Events!$B$2:$B1000 &gt;= TODAY() - 90,
      REGEXMATCH(
        "","" &amp; SUBSTITUTE(Events!$G$2:$G1000, "" "", """") &amp; "","",
        "","" &amp; SUBSTITUTE($C111, "" "", """") &amp; """&amp;",""
      )
    )
  ),
0)
)"),"")</f>
        <v/>
      </c>
      <c r="K111" s="7" t="str">
        <f t="shared" si="2"/>
        <v>#N/A</v>
      </c>
    </row>
    <row r="112">
      <c r="C112" s="6" t="str">
        <f t="shared" si="1"/>
        <v/>
      </c>
      <c r="J112" s="7" t="str">
        <f>IFERROR(__xludf.DUMMYFUNCTION("IF($C112 = """", """", IFNA(
  ROWS(
    FILTER(
      Events!$G$2:$G1000,
      Events!$B$2:$B1000 &gt;= TODAY() - 90,
      REGEXMATCH(
        "","" &amp; SUBSTITUTE(Events!$G$2:$G1000, "" "", """") &amp; "","",
        "","" &amp; SUBSTITUTE($C112, "" "", """") &amp; """&amp;",""
      )
    )
  ),
0)
)"),"")</f>
        <v/>
      </c>
      <c r="K112" s="7" t="str">
        <f t="shared" si="2"/>
        <v>#N/A</v>
      </c>
    </row>
    <row r="113">
      <c r="C113" s="6" t="str">
        <f t="shared" si="1"/>
        <v/>
      </c>
      <c r="J113" s="7" t="str">
        <f>IFERROR(__xludf.DUMMYFUNCTION("IF($C113 = """", """", IFNA(
  ROWS(
    FILTER(
      Events!$G$2:$G1000,
      Events!$B$2:$B1000 &gt;= TODAY() - 90,
      REGEXMATCH(
        "","" &amp; SUBSTITUTE(Events!$G$2:$G1000, "" "", """") &amp; "","",
        "","" &amp; SUBSTITUTE($C113, "" "", """") &amp; """&amp;",""
      )
    )
  ),
0)
)"),"")</f>
        <v/>
      </c>
      <c r="K113" s="7" t="str">
        <f t="shared" si="2"/>
        <v>#N/A</v>
      </c>
    </row>
    <row r="114">
      <c r="C114" s="6" t="str">
        <f t="shared" si="1"/>
        <v/>
      </c>
      <c r="J114" s="7" t="str">
        <f>IFERROR(__xludf.DUMMYFUNCTION("IF($C114 = """", """", IFNA(
  ROWS(
    FILTER(
      Events!$G$2:$G1000,
      Events!$B$2:$B1000 &gt;= TODAY() - 90,
      REGEXMATCH(
        "","" &amp; SUBSTITUTE(Events!$G$2:$G1000, "" "", """") &amp; "","",
        "","" &amp; SUBSTITUTE($C114, "" "", """") &amp; """&amp;",""
      )
    )
  ),
0)
)"),"")</f>
        <v/>
      </c>
      <c r="K114" s="7" t="str">
        <f t="shared" si="2"/>
        <v>#N/A</v>
      </c>
    </row>
    <row r="115">
      <c r="C115" s="6" t="str">
        <f t="shared" si="1"/>
        <v/>
      </c>
      <c r="J115" s="7" t="str">
        <f>IFERROR(__xludf.DUMMYFUNCTION("IF($C115 = """", """", IFNA(
  ROWS(
    FILTER(
      Events!$G$2:$G1000,
      Events!$B$2:$B1000 &gt;= TODAY() - 90,
      REGEXMATCH(
        "","" &amp; SUBSTITUTE(Events!$G$2:$G1000, "" "", """") &amp; "","",
        "","" &amp; SUBSTITUTE($C115, "" "", """") &amp; """&amp;",""
      )
    )
  ),
0)
)"),"")</f>
        <v/>
      </c>
      <c r="K115" s="7" t="str">
        <f t="shared" si="2"/>
        <v>#N/A</v>
      </c>
    </row>
    <row r="116">
      <c r="C116" s="6" t="str">
        <f t="shared" si="1"/>
        <v/>
      </c>
      <c r="J116" s="7" t="str">
        <f>IFERROR(__xludf.DUMMYFUNCTION("IF($C116 = """", """", IFNA(
  ROWS(
    FILTER(
      Events!$G$2:$G1000,
      Events!$B$2:$B1000 &gt;= TODAY() - 90,
      REGEXMATCH(
        "","" &amp; SUBSTITUTE(Events!$G$2:$G1000, "" "", """") &amp; "","",
        "","" &amp; SUBSTITUTE($C116, "" "", """") &amp; """&amp;",""
      )
    )
  ),
0)
)"),"")</f>
        <v/>
      </c>
      <c r="K116" s="7" t="str">
        <f t="shared" si="2"/>
        <v>#N/A</v>
      </c>
    </row>
    <row r="117">
      <c r="C117" s="6" t="str">
        <f t="shared" si="1"/>
        <v/>
      </c>
      <c r="J117" s="7" t="str">
        <f>IFERROR(__xludf.DUMMYFUNCTION("IF($C117 = """", """", IFNA(
  ROWS(
    FILTER(
      Events!$G$2:$G1000,
      Events!$B$2:$B1000 &gt;= TODAY() - 90,
      REGEXMATCH(
        "","" &amp; SUBSTITUTE(Events!$G$2:$G1000, "" "", """") &amp; "","",
        "","" &amp; SUBSTITUTE($C117, "" "", """") &amp; """&amp;",""
      )
    )
  ),
0)
)"),"")</f>
        <v/>
      </c>
      <c r="K117" s="7" t="str">
        <f t="shared" si="2"/>
        <v>#N/A</v>
      </c>
    </row>
    <row r="118">
      <c r="C118" s="6" t="str">
        <f t="shared" si="1"/>
        <v/>
      </c>
      <c r="J118" s="7" t="str">
        <f>IFERROR(__xludf.DUMMYFUNCTION("IF($C118 = """", """", IFNA(
  ROWS(
    FILTER(
      Events!$G$2:$G1000,
      Events!$B$2:$B1000 &gt;= TODAY() - 90,
      REGEXMATCH(
        "","" &amp; SUBSTITUTE(Events!$G$2:$G1000, "" "", """") &amp; "","",
        "","" &amp; SUBSTITUTE($C118, "" "", """") &amp; """&amp;",""
      )
    )
  ),
0)
)"),"")</f>
        <v/>
      </c>
      <c r="K118" s="7" t="str">
        <f t="shared" si="2"/>
        <v>#N/A</v>
      </c>
    </row>
    <row r="119">
      <c r="C119" s="6" t="str">
        <f t="shared" si="1"/>
        <v/>
      </c>
      <c r="J119" s="7" t="str">
        <f>IFERROR(__xludf.DUMMYFUNCTION("IF($C119 = """", """", IFNA(
  ROWS(
    FILTER(
      Events!$G$2:$G1000,
      Events!$B$2:$B1000 &gt;= TODAY() - 90,
      REGEXMATCH(
        "","" &amp; SUBSTITUTE(Events!$G$2:$G1000, "" "", """") &amp; "","",
        "","" &amp; SUBSTITUTE($C119, "" "", """") &amp; """&amp;",""
      )
    )
  ),
0)
)"),"")</f>
        <v/>
      </c>
      <c r="K119" s="7" t="str">
        <f t="shared" si="2"/>
        <v>#N/A</v>
      </c>
    </row>
    <row r="120">
      <c r="C120" s="6" t="str">
        <f t="shared" si="1"/>
        <v/>
      </c>
      <c r="J120" s="7" t="str">
        <f>IFERROR(__xludf.DUMMYFUNCTION("IF($C120 = """", """", IFNA(
  ROWS(
    FILTER(
      Events!$G$2:$G1000,
      Events!$B$2:$B1000 &gt;= TODAY() - 90,
      REGEXMATCH(
        "","" &amp; SUBSTITUTE(Events!$G$2:$G1000, "" "", """") &amp; "","",
        "","" &amp; SUBSTITUTE($C120, "" "", """") &amp; """&amp;",""
      )
    )
  ),
0)
)"),"")</f>
        <v/>
      </c>
      <c r="K120" s="7" t="str">
        <f t="shared" si="2"/>
        <v>#N/A</v>
      </c>
    </row>
    <row r="121">
      <c r="C121" s="6" t="str">
        <f t="shared" si="1"/>
        <v/>
      </c>
      <c r="J121" s="7" t="str">
        <f>IFERROR(__xludf.DUMMYFUNCTION("IF($C121 = """", """", IFNA(
  ROWS(
    FILTER(
      Events!$G$2:$G1000,
      Events!$B$2:$B1000 &gt;= TODAY() - 90,
      REGEXMATCH(
        "","" &amp; SUBSTITUTE(Events!$G$2:$G1000, "" "", """") &amp; "","",
        "","" &amp; SUBSTITUTE($C121, "" "", """") &amp; """&amp;",""
      )
    )
  ),
0)
)"),"")</f>
        <v/>
      </c>
      <c r="K121" s="7" t="str">
        <f t="shared" si="2"/>
        <v>#N/A</v>
      </c>
    </row>
    <row r="122">
      <c r="C122" s="6" t="str">
        <f t="shared" si="1"/>
        <v/>
      </c>
      <c r="J122" s="7" t="str">
        <f>IFERROR(__xludf.DUMMYFUNCTION("IF($C122 = """", """", IFNA(
  ROWS(
    FILTER(
      Events!$G$2:$G1000,
      Events!$B$2:$B1000 &gt;= TODAY() - 90,
      REGEXMATCH(
        "","" &amp; SUBSTITUTE(Events!$G$2:$G1000, "" "", """") &amp; "","",
        "","" &amp; SUBSTITUTE($C122, "" "", """") &amp; """&amp;",""
      )
    )
  ),
0)
)"),"")</f>
        <v/>
      </c>
      <c r="K122" s="7" t="str">
        <f t="shared" si="2"/>
        <v>#N/A</v>
      </c>
    </row>
    <row r="123">
      <c r="C123" s="6" t="str">
        <f t="shared" si="1"/>
        <v/>
      </c>
      <c r="J123" s="7" t="str">
        <f>IFERROR(__xludf.DUMMYFUNCTION("IF($C123 = """", """", IFNA(
  ROWS(
    FILTER(
      Events!$G$2:$G1000,
      Events!$B$2:$B1000 &gt;= TODAY() - 90,
      REGEXMATCH(
        "","" &amp; SUBSTITUTE(Events!$G$2:$G1000, "" "", """") &amp; "","",
        "","" &amp; SUBSTITUTE($C123, "" "", """") &amp; """&amp;",""
      )
    )
  ),
0)
)"),"")</f>
        <v/>
      </c>
      <c r="K123" s="7" t="str">
        <f t="shared" si="2"/>
        <v>#N/A</v>
      </c>
    </row>
    <row r="124">
      <c r="C124" s="6" t="str">
        <f t="shared" si="1"/>
        <v/>
      </c>
      <c r="J124" s="7" t="str">
        <f>IFERROR(__xludf.DUMMYFUNCTION("IF($C124 = """", """", IFNA(
  ROWS(
    FILTER(
      Events!$G$2:$G1000,
      Events!$B$2:$B1000 &gt;= TODAY() - 90,
      REGEXMATCH(
        "","" &amp; SUBSTITUTE(Events!$G$2:$G1000, "" "", """") &amp; "","",
        "","" &amp; SUBSTITUTE($C124, "" "", """") &amp; """&amp;",""
      )
    )
  ),
0)
)"),"")</f>
        <v/>
      </c>
      <c r="K124" s="7" t="str">
        <f t="shared" si="2"/>
        <v>#N/A</v>
      </c>
    </row>
    <row r="125">
      <c r="C125" s="6" t="str">
        <f t="shared" si="1"/>
        <v/>
      </c>
      <c r="J125" s="7" t="str">
        <f>IFERROR(__xludf.DUMMYFUNCTION("IF($C125 = """", """", IFNA(
  ROWS(
    FILTER(
      Events!$G$2:$G1000,
      Events!$B$2:$B1000 &gt;= TODAY() - 90,
      REGEXMATCH(
        "","" &amp; SUBSTITUTE(Events!$G$2:$G1000, "" "", """") &amp; "","",
        "","" &amp; SUBSTITUTE($C125, "" "", """") &amp; """&amp;",""
      )
    )
  ),
0)
)"),"")</f>
        <v/>
      </c>
      <c r="K125" s="7" t="str">
        <f t="shared" si="2"/>
        <v>#N/A</v>
      </c>
    </row>
    <row r="126">
      <c r="C126" s="6" t="str">
        <f t="shared" si="1"/>
        <v/>
      </c>
      <c r="J126" s="7" t="str">
        <f>IFERROR(__xludf.DUMMYFUNCTION("IF($C126 = """", """", IFNA(
  ROWS(
    FILTER(
      Events!$G$2:$G1000,
      Events!$B$2:$B1000 &gt;= TODAY() - 90,
      REGEXMATCH(
        "","" &amp; SUBSTITUTE(Events!$G$2:$G1000, "" "", """") &amp; "","",
        "","" &amp; SUBSTITUTE($C126, "" "", """") &amp; """&amp;",""
      )
    )
  ),
0)
)"),"")</f>
        <v/>
      </c>
      <c r="K126" s="7" t="str">
        <f t="shared" si="2"/>
        <v>#N/A</v>
      </c>
    </row>
    <row r="127">
      <c r="C127" s="6" t="str">
        <f t="shared" si="1"/>
        <v/>
      </c>
      <c r="J127" s="7" t="str">
        <f>IFERROR(__xludf.DUMMYFUNCTION("IF($C127 = """", """", IFNA(
  ROWS(
    FILTER(
      Events!$G$2:$G1000,
      Events!$B$2:$B1000 &gt;= TODAY() - 90,
      REGEXMATCH(
        "","" &amp; SUBSTITUTE(Events!$G$2:$G1000, "" "", """") &amp; "","",
        "","" &amp; SUBSTITUTE($C127, "" "", """") &amp; """&amp;",""
      )
    )
  ),
0)
)"),"")</f>
        <v/>
      </c>
      <c r="K127" s="7" t="str">
        <f t="shared" si="2"/>
        <v>#N/A</v>
      </c>
    </row>
    <row r="128">
      <c r="C128" s="6" t="str">
        <f t="shared" si="1"/>
        <v/>
      </c>
      <c r="J128" s="7" t="str">
        <f>IFERROR(__xludf.DUMMYFUNCTION("IF($C128 = """", """", IFNA(
  ROWS(
    FILTER(
      Events!$G$2:$G1000,
      Events!$B$2:$B1000 &gt;= TODAY() - 90,
      REGEXMATCH(
        "","" &amp; SUBSTITUTE(Events!$G$2:$G1000, "" "", """") &amp; "","",
        "","" &amp; SUBSTITUTE($C128, "" "", """") &amp; """&amp;",""
      )
    )
  ),
0)
)"),"")</f>
        <v/>
      </c>
      <c r="K128" s="7" t="str">
        <f t="shared" si="2"/>
        <v>#N/A</v>
      </c>
    </row>
    <row r="129">
      <c r="C129" s="6" t="str">
        <f t="shared" si="1"/>
        <v/>
      </c>
      <c r="J129" s="7" t="str">
        <f>IFERROR(__xludf.DUMMYFUNCTION("IF($C129 = """", """", IFNA(
  ROWS(
    FILTER(
      Events!$G$2:$G1000,
      Events!$B$2:$B1000 &gt;= TODAY() - 90,
      REGEXMATCH(
        "","" &amp; SUBSTITUTE(Events!$G$2:$G1000, "" "", """") &amp; "","",
        "","" &amp; SUBSTITUTE($C129, "" "", """") &amp; """&amp;",""
      )
    )
  ),
0)
)"),"")</f>
        <v/>
      </c>
      <c r="K129" s="7" t="str">
        <f t="shared" si="2"/>
        <v>#N/A</v>
      </c>
    </row>
    <row r="130">
      <c r="C130" s="6" t="str">
        <f t="shared" si="1"/>
        <v/>
      </c>
      <c r="J130" s="7" t="str">
        <f>IFERROR(__xludf.DUMMYFUNCTION("IF($C130 = """", """", IFNA(
  ROWS(
    FILTER(
      Events!$G$2:$G1000,
      Events!$B$2:$B1000 &gt;= TODAY() - 90,
      REGEXMATCH(
        "","" &amp; SUBSTITUTE(Events!$G$2:$G1000, "" "", """") &amp; "","",
        "","" &amp; SUBSTITUTE($C130, "" "", """") &amp; """&amp;",""
      )
    )
  ),
0)
)"),"")</f>
        <v/>
      </c>
      <c r="K130" s="7" t="str">
        <f t="shared" si="2"/>
        <v>#N/A</v>
      </c>
    </row>
    <row r="131">
      <c r="C131" s="6" t="str">
        <f t="shared" si="1"/>
        <v/>
      </c>
      <c r="J131" s="7" t="str">
        <f>IFERROR(__xludf.DUMMYFUNCTION("IF($C131 = """", """", IFNA(
  ROWS(
    FILTER(
      Events!$G$2:$G1000,
      Events!$B$2:$B1000 &gt;= TODAY() - 90,
      REGEXMATCH(
        "","" &amp; SUBSTITUTE(Events!$G$2:$G1000, "" "", """") &amp; "","",
        "","" &amp; SUBSTITUTE($C131, "" "", """") &amp; """&amp;",""
      )
    )
  ),
0)
)"),"")</f>
        <v/>
      </c>
      <c r="K131" s="7" t="str">
        <f t="shared" si="2"/>
        <v>#N/A</v>
      </c>
    </row>
    <row r="132">
      <c r="C132" s="6" t="str">
        <f t="shared" si="1"/>
        <v/>
      </c>
      <c r="J132" s="7" t="str">
        <f>IFERROR(__xludf.DUMMYFUNCTION("IF($C132 = """", """", IFNA(
  ROWS(
    FILTER(
      Events!$G$2:$G1000,
      Events!$B$2:$B1000 &gt;= TODAY() - 90,
      REGEXMATCH(
        "","" &amp; SUBSTITUTE(Events!$G$2:$G1000, "" "", """") &amp; "","",
        "","" &amp; SUBSTITUTE($C132, "" "", """") &amp; """&amp;",""
      )
    )
  ),
0)
)"),"")</f>
        <v/>
      </c>
      <c r="K132" s="7" t="str">
        <f t="shared" si="2"/>
        <v>#N/A</v>
      </c>
    </row>
    <row r="133">
      <c r="C133" s="6" t="str">
        <f t="shared" si="1"/>
        <v/>
      </c>
      <c r="J133" s="7" t="str">
        <f>IFERROR(__xludf.DUMMYFUNCTION("IF($C133 = """", """", IFNA(
  ROWS(
    FILTER(
      Events!$G$2:$G1000,
      Events!$B$2:$B1000 &gt;= TODAY() - 90,
      REGEXMATCH(
        "","" &amp; SUBSTITUTE(Events!$G$2:$G1000, "" "", """") &amp; "","",
        "","" &amp; SUBSTITUTE($C133, "" "", """") &amp; """&amp;",""
      )
    )
  ),
0)
)"),"")</f>
        <v/>
      </c>
      <c r="K133" s="7" t="str">
        <f t="shared" si="2"/>
        <v>#N/A</v>
      </c>
    </row>
    <row r="134">
      <c r="C134" s="6" t="str">
        <f t="shared" si="1"/>
        <v/>
      </c>
      <c r="J134" s="7" t="str">
        <f>IFERROR(__xludf.DUMMYFUNCTION("IF($C134 = """", """", IFNA(
  ROWS(
    FILTER(
      Events!$G$2:$G1000,
      Events!$B$2:$B1000 &gt;= TODAY() - 90,
      REGEXMATCH(
        "","" &amp; SUBSTITUTE(Events!$G$2:$G1000, "" "", """") &amp; "","",
        "","" &amp; SUBSTITUTE($C134, "" "", """") &amp; """&amp;",""
      )
    )
  ),
0)
)"),"")</f>
        <v/>
      </c>
      <c r="K134" s="7" t="str">
        <f t="shared" si="2"/>
        <v>#N/A</v>
      </c>
    </row>
    <row r="135">
      <c r="C135" s="6" t="str">
        <f t="shared" si="1"/>
        <v/>
      </c>
      <c r="J135" s="7" t="str">
        <f>IFERROR(__xludf.DUMMYFUNCTION("IF($C135 = """", """", IFNA(
  ROWS(
    FILTER(
      Events!$G$2:$G1000,
      Events!$B$2:$B1000 &gt;= TODAY() - 90,
      REGEXMATCH(
        "","" &amp; SUBSTITUTE(Events!$G$2:$G1000, "" "", """") &amp; "","",
        "","" &amp; SUBSTITUTE($C135, "" "", """") &amp; """&amp;",""
      )
    )
  ),
0)
)"),"")</f>
        <v/>
      </c>
      <c r="K135" s="7" t="str">
        <f t="shared" si="2"/>
        <v>#N/A</v>
      </c>
    </row>
    <row r="136">
      <c r="C136" s="6" t="str">
        <f t="shared" si="1"/>
        <v/>
      </c>
      <c r="J136" s="7" t="str">
        <f>IFERROR(__xludf.DUMMYFUNCTION("IF($C136 = """", """", IFNA(
  ROWS(
    FILTER(
      Events!$G$2:$G1000,
      Events!$B$2:$B1000 &gt;= TODAY() - 90,
      REGEXMATCH(
        "","" &amp; SUBSTITUTE(Events!$G$2:$G1000, "" "", """") &amp; "","",
        "","" &amp; SUBSTITUTE($C136, "" "", """") &amp; """&amp;",""
      )
    )
  ),
0)
)"),"")</f>
        <v/>
      </c>
      <c r="K136" s="7" t="str">
        <f t="shared" si="2"/>
        <v>#N/A</v>
      </c>
    </row>
    <row r="137">
      <c r="C137" s="6" t="str">
        <f t="shared" si="1"/>
        <v/>
      </c>
      <c r="J137" s="7" t="str">
        <f>IFERROR(__xludf.DUMMYFUNCTION("IF($C137 = """", """", IFNA(
  ROWS(
    FILTER(
      Events!$G$2:$G1000,
      Events!$B$2:$B1000 &gt;= TODAY() - 90,
      REGEXMATCH(
        "","" &amp; SUBSTITUTE(Events!$G$2:$G1000, "" "", """") &amp; "","",
        "","" &amp; SUBSTITUTE($C137, "" "", """") &amp; """&amp;",""
      )
    )
  ),
0)
)"),"")</f>
        <v/>
      </c>
      <c r="K137" s="7" t="str">
        <f t="shared" si="2"/>
        <v>#N/A</v>
      </c>
    </row>
    <row r="138">
      <c r="C138" s="6" t="str">
        <f t="shared" si="1"/>
        <v/>
      </c>
      <c r="J138" s="7" t="str">
        <f>IFERROR(__xludf.DUMMYFUNCTION("IF($C138 = """", """", IFNA(
  ROWS(
    FILTER(
      Events!$G$2:$G1000,
      Events!$B$2:$B1000 &gt;= TODAY() - 90,
      REGEXMATCH(
        "","" &amp; SUBSTITUTE(Events!$G$2:$G1000, "" "", """") &amp; "","",
        "","" &amp; SUBSTITUTE($C138, "" "", """") &amp; """&amp;",""
      )
    )
  ),
0)
)"),"")</f>
        <v/>
      </c>
      <c r="K138" s="7" t="str">
        <f t="shared" si="2"/>
        <v>#N/A</v>
      </c>
    </row>
    <row r="139">
      <c r="C139" s="6" t="str">
        <f t="shared" si="1"/>
        <v/>
      </c>
      <c r="J139" s="7" t="str">
        <f>IFERROR(__xludf.DUMMYFUNCTION("IF($C139 = """", """", IFNA(
  ROWS(
    FILTER(
      Events!$G$2:$G1000,
      Events!$B$2:$B1000 &gt;= TODAY() - 90,
      REGEXMATCH(
        "","" &amp; SUBSTITUTE(Events!$G$2:$G1000, "" "", """") &amp; "","",
        "","" &amp; SUBSTITUTE($C139, "" "", """") &amp; """&amp;",""
      )
    )
  ),
0)
)"),"")</f>
        <v/>
      </c>
      <c r="K139" s="7" t="str">
        <f t="shared" si="2"/>
        <v>#N/A</v>
      </c>
    </row>
    <row r="140">
      <c r="C140" s="6" t="str">
        <f t="shared" si="1"/>
        <v/>
      </c>
      <c r="J140" s="7" t="str">
        <f>IFERROR(__xludf.DUMMYFUNCTION("IF($C140 = """", """", IFNA(
  ROWS(
    FILTER(
      Events!$G$2:$G1000,
      Events!$B$2:$B1000 &gt;= TODAY() - 90,
      REGEXMATCH(
        "","" &amp; SUBSTITUTE(Events!$G$2:$G1000, "" "", """") &amp; "","",
        "","" &amp; SUBSTITUTE($C140, "" "", """") &amp; """&amp;",""
      )
    )
  ),
0)
)"),"")</f>
        <v/>
      </c>
      <c r="K140" s="7" t="str">
        <f t="shared" si="2"/>
        <v>#N/A</v>
      </c>
    </row>
    <row r="141">
      <c r="C141" s="6" t="str">
        <f t="shared" si="1"/>
        <v/>
      </c>
      <c r="J141" s="7" t="str">
        <f>IFERROR(__xludf.DUMMYFUNCTION("IF($C141 = """", """", IFNA(
  ROWS(
    FILTER(
      Events!$G$2:$G1000,
      Events!$B$2:$B1000 &gt;= TODAY() - 90,
      REGEXMATCH(
        "","" &amp; SUBSTITUTE(Events!$G$2:$G1000, "" "", """") &amp; "","",
        "","" &amp; SUBSTITUTE($C141, "" "", """") &amp; """&amp;",""
      )
    )
  ),
0)
)"),"")</f>
        <v/>
      </c>
      <c r="K141" s="7" t="str">
        <f t="shared" si="2"/>
        <v>#N/A</v>
      </c>
    </row>
    <row r="142">
      <c r="C142" s="6" t="str">
        <f t="shared" si="1"/>
        <v/>
      </c>
      <c r="J142" s="7" t="str">
        <f>IFERROR(__xludf.DUMMYFUNCTION("IF($C142 = """", """", IFNA(
  ROWS(
    FILTER(
      Events!$G$2:$G1000,
      Events!$B$2:$B1000 &gt;= TODAY() - 90,
      REGEXMATCH(
        "","" &amp; SUBSTITUTE(Events!$G$2:$G1000, "" "", """") &amp; "","",
        "","" &amp; SUBSTITUTE($C142, "" "", """") &amp; """&amp;",""
      )
    )
  ),
0)
)"),"")</f>
        <v/>
      </c>
      <c r="K142" s="7" t="str">
        <f t="shared" si="2"/>
        <v>#N/A</v>
      </c>
    </row>
    <row r="143">
      <c r="C143" s="6" t="str">
        <f t="shared" si="1"/>
        <v/>
      </c>
      <c r="J143" s="7" t="str">
        <f>IFERROR(__xludf.DUMMYFUNCTION("IF($C143 = """", """", IFNA(
  ROWS(
    FILTER(
      Events!$G$2:$G1000,
      Events!$B$2:$B1000 &gt;= TODAY() - 90,
      REGEXMATCH(
        "","" &amp; SUBSTITUTE(Events!$G$2:$G1000, "" "", """") &amp; "","",
        "","" &amp; SUBSTITUTE($C143, "" "", """") &amp; """&amp;",""
      )
    )
  ),
0)
)"),"")</f>
        <v/>
      </c>
      <c r="K143" s="7" t="str">
        <f t="shared" si="2"/>
        <v>#N/A</v>
      </c>
    </row>
    <row r="144">
      <c r="C144" s="6" t="str">
        <f t="shared" si="1"/>
        <v/>
      </c>
      <c r="J144" s="7" t="str">
        <f>IFERROR(__xludf.DUMMYFUNCTION("IF($C144 = """", """", IFNA(
  ROWS(
    FILTER(
      Events!$G$2:$G1000,
      Events!$B$2:$B1000 &gt;= TODAY() - 90,
      REGEXMATCH(
        "","" &amp; SUBSTITUTE(Events!$G$2:$G1000, "" "", """") &amp; "","",
        "","" &amp; SUBSTITUTE($C144, "" "", """") &amp; """&amp;",""
      )
    )
  ),
0)
)"),"")</f>
        <v/>
      </c>
      <c r="K144" s="7" t="str">
        <f t="shared" si="2"/>
        <v>#N/A</v>
      </c>
    </row>
    <row r="145">
      <c r="C145" s="6" t="str">
        <f t="shared" si="1"/>
        <v/>
      </c>
      <c r="J145" s="7" t="str">
        <f>IFERROR(__xludf.DUMMYFUNCTION("IF($C145 = """", """", IFNA(
  ROWS(
    FILTER(
      Events!$G$2:$G1000,
      Events!$B$2:$B1000 &gt;= TODAY() - 90,
      REGEXMATCH(
        "","" &amp; SUBSTITUTE(Events!$G$2:$G1000, "" "", """") &amp; "","",
        "","" &amp; SUBSTITUTE($C145, "" "", """") &amp; """&amp;",""
      )
    )
  ),
0)
)"),"")</f>
        <v/>
      </c>
      <c r="K145" s="7" t="str">
        <f t="shared" si="2"/>
        <v>#N/A</v>
      </c>
    </row>
    <row r="146">
      <c r="C146" s="6" t="str">
        <f t="shared" si="1"/>
        <v/>
      </c>
      <c r="J146" s="7" t="str">
        <f>IFERROR(__xludf.DUMMYFUNCTION("IF($C146 = """", """", IFNA(
  ROWS(
    FILTER(
      Events!$G$2:$G1000,
      Events!$B$2:$B1000 &gt;= TODAY() - 90,
      REGEXMATCH(
        "","" &amp; SUBSTITUTE(Events!$G$2:$G1000, "" "", """") &amp; "","",
        "","" &amp; SUBSTITUTE($C146, "" "", """") &amp; """&amp;",""
      )
    )
  ),
0)
)"),"")</f>
        <v/>
      </c>
      <c r="K146" s="7" t="str">
        <f t="shared" si="2"/>
        <v>#N/A</v>
      </c>
    </row>
    <row r="147">
      <c r="C147" s="6" t="str">
        <f t="shared" si="1"/>
        <v/>
      </c>
      <c r="J147" s="7" t="str">
        <f>IFERROR(__xludf.DUMMYFUNCTION("IF($C147 = """", """", IFNA(
  ROWS(
    FILTER(
      Events!$G$2:$G1000,
      Events!$B$2:$B1000 &gt;= TODAY() - 90,
      REGEXMATCH(
        "","" &amp; SUBSTITUTE(Events!$G$2:$G1000, "" "", """") &amp; "","",
        "","" &amp; SUBSTITUTE($C147, "" "", """") &amp; """&amp;",""
      )
    )
  ),
0)
)"),"")</f>
        <v/>
      </c>
      <c r="K147" s="7" t="str">
        <f t="shared" si="2"/>
        <v>#N/A</v>
      </c>
    </row>
    <row r="148">
      <c r="C148" s="6" t="str">
        <f t="shared" si="1"/>
        <v/>
      </c>
      <c r="J148" s="7" t="str">
        <f>IFERROR(__xludf.DUMMYFUNCTION("IF($C148 = """", """", IFNA(
  ROWS(
    FILTER(
      Events!$G$2:$G1000,
      Events!$B$2:$B1000 &gt;= TODAY() - 90,
      REGEXMATCH(
        "","" &amp; SUBSTITUTE(Events!$G$2:$G1000, "" "", """") &amp; "","",
        "","" &amp; SUBSTITUTE($C148, "" "", """") &amp; """&amp;",""
      )
    )
  ),
0)
)"),"")</f>
        <v/>
      </c>
      <c r="K148" s="7" t="str">
        <f t="shared" si="2"/>
        <v>#N/A</v>
      </c>
    </row>
    <row r="149">
      <c r="C149" s="6" t="str">
        <f t="shared" si="1"/>
        <v/>
      </c>
      <c r="J149" s="7" t="str">
        <f>IFERROR(__xludf.DUMMYFUNCTION("IF($C149 = """", """", IFNA(
  ROWS(
    FILTER(
      Events!$G$2:$G1000,
      Events!$B$2:$B1000 &gt;= TODAY() - 90,
      REGEXMATCH(
        "","" &amp; SUBSTITUTE(Events!$G$2:$G1000, "" "", """") &amp; "","",
        "","" &amp; SUBSTITUTE($C149, "" "", """") &amp; """&amp;",""
      )
    )
  ),
0)
)"),"")</f>
        <v/>
      </c>
      <c r="K149" s="7" t="str">
        <f t="shared" si="2"/>
        <v>#N/A</v>
      </c>
    </row>
    <row r="150">
      <c r="C150" s="6" t="str">
        <f t="shared" si="1"/>
        <v/>
      </c>
      <c r="J150" s="7" t="str">
        <f>IFERROR(__xludf.DUMMYFUNCTION("IF($C150 = """", """", IFNA(
  ROWS(
    FILTER(
      Events!$G$2:$G1000,
      Events!$B$2:$B1000 &gt;= TODAY() - 90,
      REGEXMATCH(
        "","" &amp; SUBSTITUTE(Events!$G$2:$G1000, "" "", """") &amp; "","",
        "","" &amp; SUBSTITUTE($C150, "" "", """") &amp; """&amp;",""
      )
    )
  ),
0)
)"),"")</f>
        <v/>
      </c>
      <c r="K150" s="7" t="str">
        <f t="shared" si="2"/>
        <v>#N/A</v>
      </c>
    </row>
    <row r="151">
      <c r="C151" s="6" t="str">
        <f t="shared" si="1"/>
        <v/>
      </c>
      <c r="J151" s="7" t="str">
        <f>IFERROR(__xludf.DUMMYFUNCTION("IF($C151 = """", """", IFNA(
  ROWS(
    FILTER(
      Events!$G$2:$G1000,
      Events!$B$2:$B1000 &gt;= TODAY() - 90,
      REGEXMATCH(
        "","" &amp; SUBSTITUTE(Events!$G$2:$G1000, "" "", """") &amp; "","",
        "","" &amp; SUBSTITUTE($C151, "" "", """") &amp; """&amp;",""
      )
    )
  ),
0)
)"),"")</f>
        <v/>
      </c>
      <c r="K151" s="7" t="str">
        <f t="shared" si="2"/>
        <v>#N/A</v>
      </c>
    </row>
    <row r="152">
      <c r="C152" s="6" t="str">
        <f t="shared" si="1"/>
        <v/>
      </c>
      <c r="J152" s="7" t="str">
        <f>IFERROR(__xludf.DUMMYFUNCTION("IF($C152 = """", """", IFNA(
  ROWS(
    FILTER(
      Events!$G$2:$G1000,
      Events!$B$2:$B1000 &gt;= TODAY() - 90,
      REGEXMATCH(
        "","" &amp; SUBSTITUTE(Events!$G$2:$G1000, "" "", """") &amp; "","",
        "","" &amp; SUBSTITUTE($C152, "" "", """") &amp; """&amp;",""
      )
    )
  ),
0)
)"),"")</f>
        <v/>
      </c>
      <c r="K152" s="7" t="str">
        <f t="shared" si="2"/>
        <v>#N/A</v>
      </c>
    </row>
    <row r="153">
      <c r="C153" s="6" t="str">
        <f t="shared" si="1"/>
        <v/>
      </c>
      <c r="J153" s="7" t="str">
        <f>IFERROR(__xludf.DUMMYFUNCTION("IF($C153 = """", """", IFNA(
  ROWS(
    FILTER(
      Events!$G$2:$G1000,
      Events!$B$2:$B1000 &gt;= TODAY() - 90,
      REGEXMATCH(
        "","" &amp; SUBSTITUTE(Events!$G$2:$G1000, "" "", """") &amp; "","",
        "","" &amp; SUBSTITUTE($C153, "" "", """") &amp; """&amp;",""
      )
    )
  ),
0)
)"),"")</f>
        <v/>
      </c>
      <c r="K153" s="7" t="str">
        <f t="shared" si="2"/>
        <v>#N/A</v>
      </c>
    </row>
    <row r="154">
      <c r="C154" s="6" t="str">
        <f t="shared" si="1"/>
        <v/>
      </c>
      <c r="J154" s="7" t="str">
        <f>IFERROR(__xludf.DUMMYFUNCTION("IF($C154 = """", """", IFNA(
  ROWS(
    FILTER(
      Events!$G$2:$G1000,
      Events!$B$2:$B1000 &gt;= TODAY() - 90,
      REGEXMATCH(
        "","" &amp; SUBSTITUTE(Events!$G$2:$G1000, "" "", """") &amp; "","",
        "","" &amp; SUBSTITUTE($C154, "" "", """") &amp; """&amp;",""
      )
    )
  ),
0)
)"),"")</f>
        <v/>
      </c>
      <c r="K154" s="7" t="str">
        <f t="shared" si="2"/>
        <v>#N/A</v>
      </c>
    </row>
    <row r="155">
      <c r="C155" s="6" t="str">
        <f t="shared" si="1"/>
        <v/>
      </c>
      <c r="J155" s="7" t="str">
        <f>IFERROR(__xludf.DUMMYFUNCTION("IF($C155 = """", """", IFNA(
  ROWS(
    FILTER(
      Events!$G$2:$G1000,
      Events!$B$2:$B1000 &gt;= TODAY() - 90,
      REGEXMATCH(
        "","" &amp; SUBSTITUTE(Events!$G$2:$G1000, "" "", """") &amp; "","",
        "","" &amp; SUBSTITUTE($C155, "" "", """") &amp; """&amp;",""
      )
    )
  ),
0)
)"),"")</f>
        <v/>
      </c>
      <c r="K155" s="7" t="str">
        <f t="shared" si="2"/>
        <v>#N/A</v>
      </c>
    </row>
    <row r="156">
      <c r="C156" s="6" t="str">
        <f t="shared" si="1"/>
        <v/>
      </c>
      <c r="J156" s="7" t="str">
        <f>IFERROR(__xludf.DUMMYFUNCTION("IF($C156 = """", """", IFNA(
  ROWS(
    FILTER(
      Events!$G$2:$G1000,
      Events!$B$2:$B1000 &gt;= TODAY() - 90,
      REGEXMATCH(
        "","" &amp; SUBSTITUTE(Events!$G$2:$G1000, "" "", """") &amp; "","",
        "","" &amp; SUBSTITUTE($C156, "" "", """") &amp; """&amp;",""
      )
    )
  ),
0)
)"),"")</f>
        <v/>
      </c>
      <c r="K156" s="7" t="str">
        <f t="shared" si="2"/>
        <v>#N/A</v>
      </c>
    </row>
    <row r="157">
      <c r="C157" s="6" t="str">
        <f t="shared" si="1"/>
        <v/>
      </c>
      <c r="J157" s="7" t="str">
        <f>IFERROR(__xludf.DUMMYFUNCTION("IF($C157 = """", """", IFNA(
  ROWS(
    FILTER(
      Events!$G$2:$G1000,
      Events!$B$2:$B1000 &gt;= TODAY() - 90,
      REGEXMATCH(
        "","" &amp; SUBSTITUTE(Events!$G$2:$G1000, "" "", """") &amp; "","",
        "","" &amp; SUBSTITUTE($C157, "" "", """") &amp; """&amp;",""
      )
    )
  ),
0)
)"),"")</f>
        <v/>
      </c>
      <c r="K157" s="7" t="str">
        <f t="shared" si="2"/>
        <v>#N/A</v>
      </c>
    </row>
    <row r="158">
      <c r="C158" s="6" t="str">
        <f t="shared" si="1"/>
        <v/>
      </c>
      <c r="J158" s="7" t="str">
        <f>IFERROR(__xludf.DUMMYFUNCTION("IF($C158 = """", """", IFNA(
  ROWS(
    FILTER(
      Events!$G$2:$G1000,
      Events!$B$2:$B1000 &gt;= TODAY() - 90,
      REGEXMATCH(
        "","" &amp; SUBSTITUTE(Events!$G$2:$G1000, "" "", """") &amp; "","",
        "","" &amp; SUBSTITUTE($C158, "" "", """") &amp; """&amp;",""
      )
    )
  ),
0)
)"),"")</f>
        <v/>
      </c>
      <c r="K158" s="7" t="str">
        <f t="shared" si="2"/>
        <v>#N/A</v>
      </c>
    </row>
    <row r="159">
      <c r="C159" s="6" t="str">
        <f t="shared" si="1"/>
        <v/>
      </c>
      <c r="J159" s="7" t="str">
        <f>IFERROR(__xludf.DUMMYFUNCTION("IF($C159 = """", """", IFNA(
  ROWS(
    FILTER(
      Events!$G$2:$G1000,
      Events!$B$2:$B1000 &gt;= TODAY() - 90,
      REGEXMATCH(
        "","" &amp; SUBSTITUTE(Events!$G$2:$G1000, "" "", """") &amp; "","",
        "","" &amp; SUBSTITUTE($C159, "" "", """") &amp; """&amp;",""
      )
    )
  ),
0)
)"),"")</f>
        <v/>
      </c>
      <c r="K159" s="7" t="str">
        <f t="shared" si="2"/>
        <v>#N/A</v>
      </c>
    </row>
    <row r="160">
      <c r="C160" s="6" t="str">
        <f t="shared" si="1"/>
        <v/>
      </c>
      <c r="J160" s="7" t="str">
        <f>IFERROR(__xludf.DUMMYFUNCTION("IF($C160 = """", """", IFNA(
  ROWS(
    FILTER(
      Events!$G$2:$G1000,
      Events!$B$2:$B1000 &gt;= TODAY() - 90,
      REGEXMATCH(
        "","" &amp; SUBSTITUTE(Events!$G$2:$G1000, "" "", """") &amp; "","",
        "","" &amp; SUBSTITUTE($C160, "" "", """") &amp; """&amp;",""
      )
    )
  ),
0)
)"),"")</f>
        <v/>
      </c>
      <c r="K160" s="7" t="str">
        <f t="shared" si="2"/>
        <v>#N/A</v>
      </c>
    </row>
    <row r="161">
      <c r="C161" s="6" t="str">
        <f t="shared" si="1"/>
        <v/>
      </c>
      <c r="J161" s="7" t="str">
        <f>IFERROR(__xludf.DUMMYFUNCTION("IF($C161 = """", """", IFNA(
  ROWS(
    FILTER(
      Events!$G$2:$G1000,
      Events!$B$2:$B1000 &gt;= TODAY() - 90,
      REGEXMATCH(
        "","" &amp; SUBSTITUTE(Events!$G$2:$G1000, "" "", """") &amp; "","",
        "","" &amp; SUBSTITUTE($C161, "" "", """") &amp; """&amp;",""
      )
    )
  ),
0)
)"),"")</f>
        <v/>
      </c>
      <c r="K161" s="7" t="str">
        <f t="shared" si="2"/>
        <v>#N/A</v>
      </c>
    </row>
    <row r="162">
      <c r="C162" s="6" t="str">
        <f t="shared" si="1"/>
        <v/>
      </c>
      <c r="J162" s="7" t="str">
        <f>IFERROR(__xludf.DUMMYFUNCTION("IF($C162 = """", """", IFNA(
  ROWS(
    FILTER(
      Events!$G$2:$G1000,
      Events!$B$2:$B1000 &gt;= TODAY() - 90,
      REGEXMATCH(
        "","" &amp; SUBSTITUTE(Events!$G$2:$G1000, "" "", """") &amp; "","",
        "","" &amp; SUBSTITUTE($C162, "" "", """") &amp; """&amp;",""
      )
    )
  ),
0)
)"),"")</f>
        <v/>
      </c>
      <c r="K162" s="7" t="str">
        <f t="shared" si="2"/>
        <v>#N/A</v>
      </c>
    </row>
    <row r="163">
      <c r="C163" s="6" t="str">
        <f t="shared" si="1"/>
        <v/>
      </c>
      <c r="J163" s="7" t="str">
        <f>IFERROR(__xludf.DUMMYFUNCTION("IF($C163 = """", """", IFNA(
  ROWS(
    FILTER(
      Events!$G$2:$G1000,
      Events!$B$2:$B1000 &gt;= TODAY() - 90,
      REGEXMATCH(
        "","" &amp; SUBSTITUTE(Events!$G$2:$G1000, "" "", """") &amp; "","",
        "","" &amp; SUBSTITUTE($C163, "" "", """") &amp; """&amp;",""
      )
    )
  ),
0)
)"),"")</f>
        <v/>
      </c>
      <c r="K163" s="7" t="str">
        <f t="shared" si="2"/>
        <v>#N/A</v>
      </c>
    </row>
    <row r="164">
      <c r="C164" s="6" t="str">
        <f t="shared" si="1"/>
        <v/>
      </c>
      <c r="J164" s="7" t="str">
        <f>IFERROR(__xludf.DUMMYFUNCTION("IF($C164 = """", """", IFNA(
  ROWS(
    FILTER(
      Events!$G$2:$G1000,
      Events!$B$2:$B1000 &gt;= TODAY() - 90,
      REGEXMATCH(
        "","" &amp; SUBSTITUTE(Events!$G$2:$G1000, "" "", """") &amp; "","",
        "","" &amp; SUBSTITUTE($C164, "" "", """") &amp; """&amp;",""
      )
    )
  ),
0)
)"),"")</f>
        <v/>
      </c>
      <c r="K164" s="7" t="str">
        <f t="shared" si="2"/>
        <v>#N/A</v>
      </c>
    </row>
    <row r="165">
      <c r="C165" s="6" t="str">
        <f t="shared" si="1"/>
        <v/>
      </c>
      <c r="J165" s="7" t="str">
        <f>IFERROR(__xludf.DUMMYFUNCTION("IF($C165 = """", """", IFNA(
  ROWS(
    FILTER(
      Events!$G$2:$G1000,
      Events!$B$2:$B1000 &gt;= TODAY() - 90,
      REGEXMATCH(
        "","" &amp; SUBSTITUTE(Events!$G$2:$G1000, "" "", """") &amp; "","",
        "","" &amp; SUBSTITUTE($C165, "" "", """") &amp; """&amp;",""
      )
    )
  ),
0)
)"),"")</f>
        <v/>
      </c>
      <c r="K165" s="7" t="str">
        <f t="shared" si="2"/>
        <v>#N/A</v>
      </c>
    </row>
    <row r="166">
      <c r="C166" s="6" t="str">
        <f t="shared" si="1"/>
        <v/>
      </c>
      <c r="J166" s="7" t="str">
        <f>IFERROR(__xludf.DUMMYFUNCTION("IF($C166 = """", """", IFNA(
  ROWS(
    FILTER(
      Events!$G$2:$G1000,
      Events!$B$2:$B1000 &gt;= TODAY() - 90,
      REGEXMATCH(
        "","" &amp; SUBSTITUTE(Events!$G$2:$G1000, "" "", """") &amp; "","",
        "","" &amp; SUBSTITUTE($C166, "" "", """") &amp; """&amp;",""
      )
    )
  ),
0)
)"),"")</f>
        <v/>
      </c>
      <c r="K166" s="7" t="str">
        <f t="shared" si="2"/>
        <v>#N/A</v>
      </c>
    </row>
    <row r="167">
      <c r="C167" s="6" t="str">
        <f t="shared" si="1"/>
        <v/>
      </c>
      <c r="J167" s="7" t="str">
        <f>IFERROR(__xludf.DUMMYFUNCTION("IF($C167 = """", """", IFNA(
  ROWS(
    FILTER(
      Events!$G$2:$G1000,
      Events!$B$2:$B1000 &gt;= TODAY() - 90,
      REGEXMATCH(
        "","" &amp; SUBSTITUTE(Events!$G$2:$G1000, "" "", """") &amp; "","",
        "","" &amp; SUBSTITUTE($C167, "" "", """") &amp; """&amp;",""
      )
    )
  ),
0)
)"),"")</f>
        <v/>
      </c>
      <c r="K167" s="7" t="str">
        <f t="shared" si="2"/>
        <v>#N/A</v>
      </c>
    </row>
    <row r="168">
      <c r="C168" s="6" t="str">
        <f t="shared" si="1"/>
        <v/>
      </c>
      <c r="J168" s="7" t="str">
        <f>IFERROR(__xludf.DUMMYFUNCTION("IF($C168 = """", """", IFNA(
  ROWS(
    FILTER(
      Events!$G$2:$G1000,
      Events!$B$2:$B1000 &gt;= TODAY() - 90,
      REGEXMATCH(
        "","" &amp; SUBSTITUTE(Events!$G$2:$G1000, "" "", """") &amp; "","",
        "","" &amp; SUBSTITUTE($C168, "" "", """") &amp; """&amp;",""
      )
    )
  ),
0)
)"),"")</f>
        <v/>
      </c>
      <c r="K168" s="7" t="str">
        <f t="shared" si="2"/>
        <v>#N/A</v>
      </c>
    </row>
    <row r="169">
      <c r="C169" s="6" t="str">
        <f t="shared" si="1"/>
        <v/>
      </c>
      <c r="J169" s="7" t="str">
        <f>IFERROR(__xludf.DUMMYFUNCTION("IF($C169 = """", """", IFNA(
  ROWS(
    FILTER(
      Events!$G$2:$G1000,
      Events!$B$2:$B1000 &gt;= TODAY() - 90,
      REGEXMATCH(
        "","" &amp; SUBSTITUTE(Events!$G$2:$G1000, "" "", """") &amp; "","",
        "","" &amp; SUBSTITUTE($C169, "" "", """") &amp; """&amp;",""
      )
    )
  ),
0)
)"),"")</f>
        <v/>
      </c>
      <c r="K169" s="7" t="str">
        <f t="shared" si="2"/>
        <v>#N/A</v>
      </c>
    </row>
    <row r="170">
      <c r="C170" s="6" t="str">
        <f t="shared" si="1"/>
        <v/>
      </c>
      <c r="J170" s="7" t="str">
        <f>IFERROR(__xludf.DUMMYFUNCTION("IF($C170 = """", """", IFNA(
  ROWS(
    FILTER(
      Events!$G$2:$G1000,
      Events!$B$2:$B1000 &gt;= TODAY() - 90,
      REGEXMATCH(
        "","" &amp; SUBSTITUTE(Events!$G$2:$G1000, "" "", """") &amp; "","",
        "","" &amp; SUBSTITUTE($C170, "" "", """") &amp; """&amp;",""
      )
    )
  ),
0)
)"),"")</f>
        <v/>
      </c>
      <c r="K170" s="7" t="str">
        <f t="shared" si="2"/>
        <v>#N/A</v>
      </c>
    </row>
    <row r="171">
      <c r="C171" s="6" t="str">
        <f t="shared" si="1"/>
        <v/>
      </c>
      <c r="J171" s="7" t="str">
        <f>IFERROR(__xludf.DUMMYFUNCTION("IF($C171 = """", """", IFNA(
  ROWS(
    FILTER(
      Events!$G$2:$G1000,
      Events!$B$2:$B1000 &gt;= TODAY() - 90,
      REGEXMATCH(
        "","" &amp; SUBSTITUTE(Events!$G$2:$G1000, "" "", """") &amp; "","",
        "","" &amp; SUBSTITUTE($C171, "" "", """") &amp; """&amp;",""
      )
    )
  ),
0)
)"),"")</f>
        <v/>
      </c>
      <c r="K171" s="7" t="str">
        <f t="shared" si="2"/>
        <v>#N/A</v>
      </c>
    </row>
    <row r="172">
      <c r="C172" s="6" t="str">
        <f t="shared" si="1"/>
        <v/>
      </c>
      <c r="J172" s="7" t="str">
        <f>IFERROR(__xludf.DUMMYFUNCTION("IF($C172 = """", """", IFNA(
  ROWS(
    FILTER(
      Events!$G$2:$G1000,
      Events!$B$2:$B1000 &gt;= TODAY() - 90,
      REGEXMATCH(
        "","" &amp; SUBSTITUTE(Events!$G$2:$G1000, "" "", """") &amp; "","",
        "","" &amp; SUBSTITUTE($C172, "" "", """") &amp; """&amp;",""
      )
    )
  ),
0)
)"),"")</f>
        <v/>
      </c>
      <c r="K172" s="7" t="str">
        <f t="shared" si="2"/>
        <v>#N/A</v>
      </c>
    </row>
    <row r="173">
      <c r="C173" s="6" t="str">
        <f t="shared" si="1"/>
        <v/>
      </c>
      <c r="J173" s="7" t="str">
        <f>IFERROR(__xludf.DUMMYFUNCTION("IF($C173 = """", """", IFNA(
  ROWS(
    FILTER(
      Events!$G$2:$G1000,
      Events!$B$2:$B1000 &gt;= TODAY() - 90,
      REGEXMATCH(
        "","" &amp; SUBSTITUTE(Events!$G$2:$G1000, "" "", """") &amp; "","",
        "","" &amp; SUBSTITUTE($C173, "" "", """") &amp; """&amp;",""
      )
    )
  ),
0)
)"),"")</f>
        <v/>
      </c>
      <c r="K173" s="7" t="str">
        <f t="shared" si="2"/>
        <v>#N/A</v>
      </c>
    </row>
    <row r="174">
      <c r="C174" s="6" t="str">
        <f t="shared" si="1"/>
        <v/>
      </c>
      <c r="J174" s="7" t="str">
        <f>IFERROR(__xludf.DUMMYFUNCTION("IF($C174 = """", """", IFNA(
  ROWS(
    FILTER(
      Events!$G$2:$G1000,
      Events!$B$2:$B1000 &gt;= TODAY() - 90,
      REGEXMATCH(
        "","" &amp; SUBSTITUTE(Events!$G$2:$G1000, "" "", """") &amp; "","",
        "","" &amp; SUBSTITUTE($C174, "" "", """") &amp; """&amp;",""
      )
    )
  ),
0)
)"),"")</f>
        <v/>
      </c>
      <c r="K174" s="7" t="str">
        <f t="shared" si="2"/>
        <v>#N/A</v>
      </c>
    </row>
    <row r="175">
      <c r="C175" s="6" t="str">
        <f t="shared" si="1"/>
        <v/>
      </c>
      <c r="J175" s="7" t="str">
        <f>IFERROR(__xludf.DUMMYFUNCTION("IF($C175 = """", """", IFNA(
  ROWS(
    FILTER(
      Events!$G$2:$G1000,
      Events!$B$2:$B1000 &gt;= TODAY() - 90,
      REGEXMATCH(
        "","" &amp; SUBSTITUTE(Events!$G$2:$G1000, "" "", """") &amp; "","",
        "","" &amp; SUBSTITUTE($C175, "" "", """") &amp; """&amp;",""
      )
    )
  ),
0)
)"),"")</f>
        <v/>
      </c>
      <c r="K175" s="7" t="str">
        <f t="shared" si="2"/>
        <v>#N/A</v>
      </c>
    </row>
    <row r="176">
      <c r="C176" s="6" t="str">
        <f t="shared" si="1"/>
        <v/>
      </c>
      <c r="J176" s="7" t="str">
        <f>IFERROR(__xludf.DUMMYFUNCTION("IF($C176 = """", """", IFNA(
  ROWS(
    FILTER(
      Events!$G$2:$G1000,
      Events!$B$2:$B1000 &gt;= TODAY() - 90,
      REGEXMATCH(
        "","" &amp; SUBSTITUTE(Events!$G$2:$G1000, "" "", """") &amp; "","",
        "","" &amp; SUBSTITUTE($C176, "" "", """") &amp; """&amp;",""
      )
    )
  ),
0)
)"),"")</f>
        <v/>
      </c>
      <c r="K176" s="7" t="str">
        <f t="shared" si="2"/>
        <v>#N/A</v>
      </c>
    </row>
    <row r="177">
      <c r="C177" s="6" t="str">
        <f t="shared" si="1"/>
        <v/>
      </c>
      <c r="J177" s="7" t="str">
        <f>IFERROR(__xludf.DUMMYFUNCTION("IF($C177 = """", """", IFNA(
  ROWS(
    FILTER(
      Events!$G$2:$G1000,
      Events!$B$2:$B1000 &gt;= TODAY() - 90,
      REGEXMATCH(
        "","" &amp; SUBSTITUTE(Events!$G$2:$G1000, "" "", """") &amp; "","",
        "","" &amp; SUBSTITUTE($C177, "" "", """") &amp; """&amp;",""
      )
    )
  ),
0)
)"),"")</f>
        <v/>
      </c>
      <c r="K177" s="7" t="str">
        <f t="shared" si="2"/>
        <v>#N/A</v>
      </c>
    </row>
    <row r="178">
      <c r="C178" s="6" t="str">
        <f t="shared" si="1"/>
        <v/>
      </c>
      <c r="J178" s="7" t="str">
        <f>IFERROR(__xludf.DUMMYFUNCTION("IF($C178 = """", """", IFNA(
  ROWS(
    FILTER(
      Events!$G$2:$G1000,
      Events!$B$2:$B1000 &gt;= TODAY() - 90,
      REGEXMATCH(
        "","" &amp; SUBSTITUTE(Events!$G$2:$G1000, "" "", """") &amp; "","",
        "","" &amp; SUBSTITUTE($C178, "" "", """") &amp; """&amp;",""
      )
    )
  ),
0)
)"),"")</f>
        <v/>
      </c>
      <c r="K178" s="7" t="str">
        <f t="shared" si="2"/>
        <v>#N/A</v>
      </c>
    </row>
    <row r="179">
      <c r="C179" s="6" t="str">
        <f t="shared" si="1"/>
        <v/>
      </c>
      <c r="J179" s="7" t="str">
        <f>IFERROR(__xludf.DUMMYFUNCTION("IF($C179 = """", """", IFNA(
  ROWS(
    FILTER(
      Events!$G$2:$G1000,
      Events!$B$2:$B1000 &gt;= TODAY() - 90,
      REGEXMATCH(
        "","" &amp; SUBSTITUTE(Events!$G$2:$G1000, "" "", """") &amp; "","",
        "","" &amp; SUBSTITUTE($C179, "" "", """") &amp; """&amp;",""
      )
    )
  ),
0)
)"),"")</f>
        <v/>
      </c>
      <c r="K179" s="7" t="str">
        <f t="shared" si="2"/>
        <v>#N/A</v>
      </c>
    </row>
    <row r="180">
      <c r="C180" s="6" t="str">
        <f t="shared" si="1"/>
        <v/>
      </c>
      <c r="J180" s="7" t="str">
        <f>IFERROR(__xludf.DUMMYFUNCTION("IF($C180 = """", """", IFNA(
  ROWS(
    FILTER(
      Events!$G$2:$G1000,
      Events!$B$2:$B1000 &gt;= TODAY() - 90,
      REGEXMATCH(
        "","" &amp; SUBSTITUTE(Events!$G$2:$G1000, "" "", """") &amp; "","",
        "","" &amp; SUBSTITUTE($C180, "" "", """") &amp; """&amp;",""
      )
    )
  ),
0)
)"),"")</f>
        <v/>
      </c>
      <c r="K180" s="7" t="str">
        <f t="shared" si="2"/>
        <v>#N/A</v>
      </c>
    </row>
    <row r="181">
      <c r="C181" s="6" t="str">
        <f t="shared" si="1"/>
        <v/>
      </c>
      <c r="J181" s="7" t="str">
        <f>IFERROR(__xludf.DUMMYFUNCTION("IF($C181 = """", """", IFNA(
  ROWS(
    FILTER(
      Events!$G$2:$G1000,
      Events!$B$2:$B1000 &gt;= TODAY() - 90,
      REGEXMATCH(
        "","" &amp; SUBSTITUTE(Events!$G$2:$G1000, "" "", """") &amp; "","",
        "","" &amp; SUBSTITUTE($C181, "" "", """") &amp; """&amp;",""
      )
    )
  ),
0)
)"),"")</f>
        <v/>
      </c>
      <c r="K181" s="7" t="str">
        <f t="shared" si="2"/>
        <v>#N/A</v>
      </c>
    </row>
    <row r="182">
      <c r="C182" s="6" t="str">
        <f t="shared" si="1"/>
        <v/>
      </c>
      <c r="J182" s="7" t="str">
        <f>IFERROR(__xludf.DUMMYFUNCTION("IF($C182 = """", """", IFNA(
  ROWS(
    FILTER(
      Events!$G$2:$G1000,
      Events!$B$2:$B1000 &gt;= TODAY() - 90,
      REGEXMATCH(
        "","" &amp; SUBSTITUTE(Events!$G$2:$G1000, "" "", """") &amp; "","",
        "","" &amp; SUBSTITUTE($C182, "" "", """") &amp; """&amp;",""
      )
    )
  ),
0)
)"),"")</f>
        <v/>
      </c>
      <c r="K182" s="7" t="str">
        <f t="shared" si="2"/>
        <v>#N/A</v>
      </c>
    </row>
    <row r="183">
      <c r="C183" s="6" t="str">
        <f t="shared" si="1"/>
        <v/>
      </c>
      <c r="J183" s="7" t="str">
        <f>IFERROR(__xludf.DUMMYFUNCTION("IF($C183 = """", """", IFNA(
  ROWS(
    FILTER(
      Events!$G$2:$G1000,
      Events!$B$2:$B1000 &gt;= TODAY() - 90,
      REGEXMATCH(
        "","" &amp; SUBSTITUTE(Events!$G$2:$G1000, "" "", """") &amp; "","",
        "","" &amp; SUBSTITUTE($C183, "" "", """") &amp; """&amp;",""
      )
    )
  ),
0)
)"),"")</f>
        <v/>
      </c>
      <c r="K183" s="7" t="str">
        <f t="shared" si="2"/>
        <v>#N/A</v>
      </c>
    </row>
    <row r="184">
      <c r="C184" s="6" t="str">
        <f t="shared" si="1"/>
        <v/>
      </c>
      <c r="J184" s="7" t="str">
        <f>IFERROR(__xludf.DUMMYFUNCTION("IF($C184 = """", """", IFNA(
  ROWS(
    FILTER(
      Events!$G$2:$G1000,
      Events!$B$2:$B1000 &gt;= TODAY() - 90,
      REGEXMATCH(
        "","" &amp; SUBSTITUTE(Events!$G$2:$G1000, "" "", """") &amp; "","",
        "","" &amp; SUBSTITUTE($C184, "" "", """") &amp; """&amp;",""
      )
    )
  ),
0)
)"),"")</f>
        <v/>
      </c>
      <c r="K184" s="7" t="str">
        <f t="shared" si="2"/>
        <v>#N/A</v>
      </c>
    </row>
    <row r="185">
      <c r="C185" s="6" t="str">
        <f t="shared" si="1"/>
        <v/>
      </c>
      <c r="J185" s="7" t="str">
        <f>IFERROR(__xludf.DUMMYFUNCTION("IF($C185 = """", """", IFNA(
  ROWS(
    FILTER(
      Events!$G$2:$G1000,
      Events!$B$2:$B1000 &gt;= TODAY() - 90,
      REGEXMATCH(
        "","" &amp; SUBSTITUTE(Events!$G$2:$G1000, "" "", """") &amp; "","",
        "","" &amp; SUBSTITUTE($C185, "" "", """") &amp; """&amp;",""
      )
    )
  ),
0)
)"),"")</f>
        <v/>
      </c>
      <c r="K185" s="7" t="str">
        <f t="shared" si="2"/>
        <v>#N/A</v>
      </c>
    </row>
    <row r="186">
      <c r="C186" s="6" t="str">
        <f t="shared" si="1"/>
        <v/>
      </c>
      <c r="J186" s="7" t="str">
        <f>IFERROR(__xludf.DUMMYFUNCTION("IF($C186 = """", """", IFNA(
  ROWS(
    FILTER(
      Events!$G$2:$G1000,
      Events!$B$2:$B1000 &gt;= TODAY() - 90,
      REGEXMATCH(
        "","" &amp; SUBSTITUTE(Events!$G$2:$G1000, "" "", """") &amp; "","",
        "","" &amp; SUBSTITUTE($C186, "" "", """") &amp; """&amp;",""
      )
    )
  ),
0)
)"),"")</f>
        <v/>
      </c>
      <c r="K186" s="7" t="str">
        <f t="shared" si="2"/>
        <v>#N/A</v>
      </c>
    </row>
    <row r="187">
      <c r="C187" s="6" t="str">
        <f t="shared" si="1"/>
        <v/>
      </c>
      <c r="J187" s="7" t="str">
        <f>IFERROR(__xludf.DUMMYFUNCTION("IF($C187 = """", """", IFNA(
  ROWS(
    FILTER(
      Events!$G$2:$G1000,
      Events!$B$2:$B1000 &gt;= TODAY() - 90,
      REGEXMATCH(
        "","" &amp; SUBSTITUTE(Events!$G$2:$G1000, "" "", """") &amp; "","",
        "","" &amp; SUBSTITUTE($C187, "" "", """") &amp; """&amp;",""
      )
    )
  ),
0)
)"),"")</f>
        <v/>
      </c>
      <c r="K187" s="7" t="str">
        <f t="shared" si="2"/>
        <v>#N/A</v>
      </c>
    </row>
    <row r="188">
      <c r="C188" s="6" t="str">
        <f t="shared" si="1"/>
        <v/>
      </c>
      <c r="J188" s="7" t="str">
        <f>IFERROR(__xludf.DUMMYFUNCTION("IF($C188 = """", """", IFNA(
  ROWS(
    FILTER(
      Events!$G$2:$G1000,
      Events!$B$2:$B1000 &gt;= TODAY() - 90,
      REGEXMATCH(
        "","" &amp; SUBSTITUTE(Events!$G$2:$G1000, "" "", """") &amp; "","",
        "","" &amp; SUBSTITUTE($C188, "" "", """") &amp; """&amp;",""
      )
    )
  ),
0)
)"),"")</f>
        <v/>
      </c>
      <c r="K188" s="7" t="str">
        <f t="shared" si="2"/>
        <v>#N/A</v>
      </c>
    </row>
    <row r="189">
      <c r="C189" s="6" t="str">
        <f t="shared" si="1"/>
        <v/>
      </c>
      <c r="J189" s="7" t="str">
        <f>IFERROR(__xludf.DUMMYFUNCTION("IF($C189 = """", """", IFNA(
  ROWS(
    FILTER(
      Events!$G$2:$G1000,
      Events!$B$2:$B1000 &gt;= TODAY() - 90,
      REGEXMATCH(
        "","" &amp; SUBSTITUTE(Events!$G$2:$G1000, "" "", """") &amp; "","",
        "","" &amp; SUBSTITUTE($C189, "" "", """") &amp; """&amp;",""
      )
    )
  ),
0)
)"),"")</f>
        <v/>
      </c>
      <c r="K189" s="7" t="str">
        <f t="shared" si="2"/>
        <v>#N/A</v>
      </c>
    </row>
    <row r="190">
      <c r="C190" s="6" t="str">
        <f t="shared" si="1"/>
        <v/>
      </c>
      <c r="J190" s="7" t="str">
        <f>IFERROR(__xludf.DUMMYFUNCTION("IF($C190 = """", """", IFNA(
  ROWS(
    FILTER(
      Events!$G$2:$G1000,
      Events!$B$2:$B1000 &gt;= TODAY() - 90,
      REGEXMATCH(
        "","" &amp; SUBSTITUTE(Events!$G$2:$G1000, "" "", """") &amp; "","",
        "","" &amp; SUBSTITUTE($C190, "" "", """") &amp; """&amp;",""
      )
    )
  ),
0)
)"),"")</f>
        <v/>
      </c>
      <c r="K190" s="7" t="str">
        <f t="shared" si="2"/>
        <v>#N/A</v>
      </c>
    </row>
    <row r="191">
      <c r="C191" s="6" t="str">
        <f t="shared" si="1"/>
        <v/>
      </c>
      <c r="J191" s="7" t="str">
        <f>IFERROR(__xludf.DUMMYFUNCTION("IF($C191 = """", """", IFNA(
  ROWS(
    FILTER(
      Events!$G$2:$G1000,
      Events!$B$2:$B1000 &gt;= TODAY() - 90,
      REGEXMATCH(
        "","" &amp; SUBSTITUTE(Events!$G$2:$G1000, "" "", """") &amp; "","",
        "","" &amp; SUBSTITUTE($C191, "" "", """") &amp; """&amp;",""
      )
    )
  ),
0)
)"),"")</f>
        <v/>
      </c>
      <c r="K191" s="7" t="str">
        <f t="shared" si="2"/>
        <v>#N/A</v>
      </c>
    </row>
    <row r="192">
      <c r="C192" s="6" t="str">
        <f t="shared" si="1"/>
        <v/>
      </c>
      <c r="J192" s="7" t="str">
        <f>IFERROR(__xludf.DUMMYFUNCTION("IF($C192 = """", """", IFNA(
  ROWS(
    FILTER(
      Events!$G$2:$G1000,
      Events!$B$2:$B1000 &gt;= TODAY() - 90,
      REGEXMATCH(
        "","" &amp; SUBSTITUTE(Events!$G$2:$G1000, "" "", """") &amp; "","",
        "","" &amp; SUBSTITUTE($C192, "" "", """") &amp; """&amp;",""
      )
    )
  ),
0)
)"),"")</f>
        <v/>
      </c>
      <c r="K192" s="7" t="str">
        <f t="shared" si="2"/>
        <v>#N/A</v>
      </c>
    </row>
    <row r="193">
      <c r="C193" s="6" t="str">
        <f t="shared" si="1"/>
        <v/>
      </c>
      <c r="J193" s="7" t="str">
        <f>IFERROR(__xludf.DUMMYFUNCTION("IF($C193 = """", """", IFNA(
  ROWS(
    FILTER(
      Events!$G$2:$G1000,
      Events!$B$2:$B1000 &gt;= TODAY() - 90,
      REGEXMATCH(
        "","" &amp; SUBSTITUTE(Events!$G$2:$G1000, "" "", """") &amp; "","",
        "","" &amp; SUBSTITUTE($C193, "" "", """") &amp; """&amp;",""
      )
    )
  ),
0)
)"),"")</f>
        <v/>
      </c>
      <c r="K193" s="7" t="str">
        <f t="shared" si="2"/>
        <v>#N/A</v>
      </c>
    </row>
    <row r="194">
      <c r="C194" s="6" t="str">
        <f t="shared" si="1"/>
        <v/>
      </c>
      <c r="J194" s="7" t="str">
        <f>IFERROR(__xludf.DUMMYFUNCTION("IF($C194 = """", """", IFNA(
  ROWS(
    FILTER(
      Events!$G$2:$G1000,
      Events!$B$2:$B1000 &gt;= TODAY() - 90,
      REGEXMATCH(
        "","" &amp; SUBSTITUTE(Events!$G$2:$G1000, "" "", """") &amp; "","",
        "","" &amp; SUBSTITUTE($C194, "" "", """") &amp; """&amp;",""
      )
    )
  ),
0)
)"),"")</f>
        <v/>
      </c>
      <c r="K194" s="7" t="str">
        <f t="shared" si="2"/>
        <v>#N/A</v>
      </c>
    </row>
    <row r="195">
      <c r="C195" s="6" t="str">
        <f t="shared" si="1"/>
        <v/>
      </c>
      <c r="J195" s="7" t="str">
        <f>IFERROR(__xludf.DUMMYFUNCTION("IF($C195 = """", """", IFNA(
  ROWS(
    FILTER(
      Events!$G$2:$G1000,
      Events!$B$2:$B1000 &gt;= TODAY() - 90,
      REGEXMATCH(
        "","" &amp; SUBSTITUTE(Events!$G$2:$G1000, "" "", """") &amp; "","",
        "","" &amp; SUBSTITUTE($C195, "" "", """") &amp; """&amp;",""
      )
    )
  ),
0)
)"),"")</f>
        <v/>
      </c>
      <c r="K195" s="7" t="str">
        <f t="shared" si="2"/>
        <v>#N/A</v>
      </c>
    </row>
    <row r="196">
      <c r="C196" s="6" t="str">
        <f t="shared" si="1"/>
        <v/>
      </c>
      <c r="J196" s="7" t="str">
        <f>IFERROR(__xludf.DUMMYFUNCTION("IF($C196 = """", """", IFNA(
  ROWS(
    FILTER(
      Events!$G$2:$G1000,
      Events!$B$2:$B1000 &gt;= TODAY() - 90,
      REGEXMATCH(
        "","" &amp; SUBSTITUTE(Events!$G$2:$G1000, "" "", """") &amp; "","",
        "","" &amp; SUBSTITUTE($C196, "" "", """") &amp; """&amp;",""
      )
    )
  ),
0)
)"),"")</f>
        <v/>
      </c>
      <c r="K196" s="7" t="str">
        <f t="shared" si="2"/>
        <v>#N/A</v>
      </c>
    </row>
    <row r="197">
      <c r="C197" s="6" t="str">
        <f t="shared" si="1"/>
        <v/>
      </c>
      <c r="J197" s="7" t="str">
        <f>IFERROR(__xludf.DUMMYFUNCTION("IF($C197 = """", """", IFNA(
  ROWS(
    FILTER(
      Events!$G$2:$G1000,
      Events!$B$2:$B1000 &gt;= TODAY() - 90,
      REGEXMATCH(
        "","" &amp; SUBSTITUTE(Events!$G$2:$G1000, "" "", """") &amp; "","",
        "","" &amp; SUBSTITUTE($C197, "" "", """") &amp; """&amp;",""
      )
    )
  ),
0)
)"),"")</f>
        <v/>
      </c>
      <c r="K197" s="7" t="str">
        <f t="shared" si="2"/>
        <v>#N/A</v>
      </c>
    </row>
    <row r="198">
      <c r="C198" s="6" t="str">
        <f t="shared" si="1"/>
        <v/>
      </c>
      <c r="J198" s="7" t="str">
        <f>IFERROR(__xludf.DUMMYFUNCTION("IF($C198 = """", """", IFNA(
  ROWS(
    FILTER(
      Events!$G$2:$G1000,
      Events!$B$2:$B1000 &gt;= TODAY() - 90,
      REGEXMATCH(
        "","" &amp; SUBSTITUTE(Events!$G$2:$G1000, "" "", """") &amp; "","",
        "","" &amp; SUBSTITUTE($C198, "" "", """") &amp; """&amp;",""
      )
    )
  ),
0)
)"),"")</f>
        <v/>
      </c>
      <c r="K198" s="7" t="str">
        <f t="shared" si="2"/>
        <v>#N/A</v>
      </c>
    </row>
    <row r="199">
      <c r="C199" s="6" t="str">
        <f t="shared" si="1"/>
        <v/>
      </c>
      <c r="J199" s="7" t="str">
        <f>IFERROR(__xludf.DUMMYFUNCTION("IF($C199 = """", """", IFNA(
  ROWS(
    FILTER(
      Events!$G$2:$G1000,
      Events!$B$2:$B1000 &gt;= TODAY() - 90,
      REGEXMATCH(
        "","" &amp; SUBSTITUTE(Events!$G$2:$G1000, "" "", """") &amp; "","",
        "","" &amp; SUBSTITUTE($C199, "" "", """") &amp; """&amp;",""
      )
    )
  ),
0)
)"),"")</f>
        <v/>
      </c>
      <c r="K199" s="7" t="str">
        <f t="shared" si="2"/>
        <v>#N/A</v>
      </c>
    </row>
    <row r="200">
      <c r="C200" s="6" t="str">
        <f t="shared" si="1"/>
        <v/>
      </c>
      <c r="J200" s="7" t="str">
        <f>IFERROR(__xludf.DUMMYFUNCTION("IF($C200 = """", """", IFNA(
  ROWS(
    FILTER(
      Events!$G$2:$G1000,
      Events!$B$2:$B1000 &gt;= TODAY() - 90,
      REGEXMATCH(
        "","" &amp; SUBSTITUTE(Events!$G$2:$G1000, "" "", """") &amp; "","",
        "","" &amp; SUBSTITUTE($C200, "" "", """") &amp; """&amp;",""
      )
    )
  ),
0)
)"),"")</f>
        <v/>
      </c>
      <c r="K200" s="7" t="str">
        <f t="shared" si="2"/>
        <v>#N/A</v>
      </c>
    </row>
    <row r="201">
      <c r="C201" s="6" t="str">
        <f t="shared" si="1"/>
        <v/>
      </c>
      <c r="J201" s="7" t="str">
        <f>IFERROR(__xludf.DUMMYFUNCTION("IF($C201 = """", """", IFNA(
  ROWS(
    FILTER(
      Events!$G$2:$G1000,
      Events!$B$2:$B1000 &gt;= TODAY() - 90,
      REGEXMATCH(
        "","" &amp; SUBSTITUTE(Events!$G$2:$G1000, "" "", """") &amp; "","",
        "","" &amp; SUBSTITUTE($C201, "" "", """") &amp; """&amp;",""
      )
    )
  ),
0)
)"),"")</f>
        <v/>
      </c>
      <c r="K201" s="7" t="str">
        <f t="shared" si="2"/>
        <v>#N/A</v>
      </c>
    </row>
    <row r="202">
      <c r="C202" s="6" t="str">
        <f t="shared" si="1"/>
        <v/>
      </c>
      <c r="J202" s="7" t="str">
        <f>IFERROR(__xludf.DUMMYFUNCTION("IF($C202 = """", """", IFNA(
  ROWS(
    FILTER(
      Events!$G$2:$G1000,
      Events!$B$2:$B1000 &gt;= TODAY() - 90,
      REGEXMATCH(
        "","" &amp; SUBSTITUTE(Events!$G$2:$G1000, "" "", """") &amp; "","",
        "","" &amp; SUBSTITUTE($C202, "" "", """") &amp; """&amp;",""
      )
    )
  ),
0)
)"),"")</f>
        <v/>
      </c>
      <c r="K202" s="7" t="str">
        <f t="shared" si="2"/>
        <v>#N/A</v>
      </c>
    </row>
    <row r="203">
      <c r="C203" s="6" t="str">
        <f t="shared" si="1"/>
        <v/>
      </c>
      <c r="J203" s="7" t="str">
        <f>IFERROR(__xludf.DUMMYFUNCTION("IF($C203 = """", """", IFNA(
  ROWS(
    FILTER(
      Events!$G$2:$G1000,
      Events!$B$2:$B1000 &gt;= TODAY() - 90,
      REGEXMATCH(
        "","" &amp; SUBSTITUTE(Events!$G$2:$G1000, "" "", """") &amp; "","",
        "","" &amp; SUBSTITUTE($C203, "" "", """") &amp; """&amp;",""
      )
    )
  ),
0)
)"),"")</f>
        <v/>
      </c>
      <c r="K203" s="7" t="str">
        <f t="shared" si="2"/>
        <v>#N/A</v>
      </c>
    </row>
    <row r="204">
      <c r="C204" s="6" t="str">
        <f t="shared" si="1"/>
        <v/>
      </c>
      <c r="J204" s="7" t="str">
        <f>IFERROR(__xludf.DUMMYFUNCTION("IF($C204 = """", """", IFNA(
  ROWS(
    FILTER(
      Events!$G$2:$G1000,
      Events!$B$2:$B1000 &gt;= TODAY() - 90,
      REGEXMATCH(
        "","" &amp; SUBSTITUTE(Events!$G$2:$G1000, "" "", """") &amp; "","",
        "","" &amp; SUBSTITUTE($C204, "" "", """") &amp; """&amp;",""
      )
    )
  ),
0)
)"),"")</f>
        <v/>
      </c>
      <c r="K204" s="7" t="str">
        <f t="shared" si="2"/>
        <v>#N/A</v>
      </c>
    </row>
    <row r="205">
      <c r="C205" s="6" t="str">
        <f t="shared" si="1"/>
        <v/>
      </c>
      <c r="J205" s="7" t="str">
        <f>IFERROR(__xludf.DUMMYFUNCTION("IF($C205 = """", """", IFNA(
  ROWS(
    FILTER(
      Events!$G$2:$G1000,
      Events!$B$2:$B1000 &gt;= TODAY() - 90,
      REGEXMATCH(
        "","" &amp; SUBSTITUTE(Events!$G$2:$G1000, "" "", """") &amp; "","",
        "","" &amp; SUBSTITUTE($C205, "" "", """") &amp; """&amp;",""
      )
    )
  ),
0)
)"),"")</f>
        <v/>
      </c>
      <c r="K205" s="7" t="str">
        <f t="shared" si="2"/>
        <v>#N/A</v>
      </c>
    </row>
    <row r="206">
      <c r="C206" s="6" t="str">
        <f t="shared" si="1"/>
        <v/>
      </c>
      <c r="J206" s="7" t="str">
        <f>IFERROR(__xludf.DUMMYFUNCTION("IF($C206 = """", """", IFNA(
  ROWS(
    FILTER(
      Events!$G$2:$G1000,
      Events!$B$2:$B1000 &gt;= TODAY() - 90,
      REGEXMATCH(
        "","" &amp; SUBSTITUTE(Events!$G$2:$G1000, "" "", """") &amp; "","",
        "","" &amp; SUBSTITUTE($C206, "" "", """") &amp; """&amp;",""
      )
    )
  ),
0)
)"),"")</f>
        <v/>
      </c>
      <c r="K206" s="7" t="str">
        <f t="shared" si="2"/>
        <v>#N/A</v>
      </c>
    </row>
    <row r="207">
      <c r="C207" s="6" t="str">
        <f t="shared" si="1"/>
        <v/>
      </c>
      <c r="J207" s="7" t="str">
        <f>IFERROR(__xludf.DUMMYFUNCTION("IF($C207 = """", """", IFNA(
  ROWS(
    FILTER(
      Events!$G$2:$G1000,
      Events!$B$2:$B1000 &gt;= TODAY() - 90,
      REGEXMATCH(
        "","" &amp; SUBSTITUTE(Events!$G$2:$G1000, "" "", """") &amp; "","",
        "","" &amp; SUBSTITUTE($C207, "" "", """") &amp; """&amp;",""
      )
    )
  ),
0)
)"),"")</f>
        <v/>
      </c>
      <c r="K207" s="7" t="str">
        <f t="shared" si="2"/>
        <v>#N/A</v>
      </c>
    </row>
    <row r="208">
      <c r="C208" s="6" t="str">
        <f t="shared" si="1"/>
        <v/>
      </c>
      <c r="J208" s="7" t="str">
        <f>IFERROR(__xludf.DUMMYFUNCTION("IF($C208 = """", """", IFNA(
  ROWS(
    FILTER(
      Events!$G$2:$G1000,
      Events!$B$2:$B1000 &gt;= TODAY() - 90,
      REGEXMATCH(
        "","" &amp; SUBSTITUTE(Events!$G$2:$G1000, "" "", """") &amp; "","",
        "","" &amp; SUBSTITUTE($C208, "" "", """") &amp; """&amp;",""
      )
    )
  ),
0)
)"),"")</f>
        <v/>
      </c>
      <c r="K208" s="7" t="str">
        <f t="shared" si="2"/>
        <v>#N/A</v>
      </c>
    </row>
    <row r="209">
      <c r="C209" s="6" t="str">
        <f t="shared" si="1"/>
        <v/>
      </c>
      <c r="J209" s="7" t="str">
        <f>IFERROR(__xludf.DUMMYFUNCTION("IF($C209 = """", """", IFNA(
  ROWS(
    FILTER(
      Events!$G$2:$G1000,
      Events!$B$2:$B1000 &gt;= TODAY() - 90,
      REGEXMATCH(
        "","" &amp; SUBSTITUTE(Events!$G$2:$G1000, "" "", """") &amp; "","",
        "","" &amp; SUBSTITUTE($C209, "" "", """") &amp; """&amp;",""
      )
    )
  ),
0)
)"),"")</f>
        <v/>
      </c>
      <c r="K209" s="7" t="str">
        <f t="shared" si="2"/>
        <v>#N/A</v>
      </c>
    </row>
    <row r="210">
      <c r="C210" s="6" t="str">
        <f t="shared" si="1"/>
        <v/>
      </c>
      <c r="J210" s="7" t="str">
        <f>IFERROR(__xludf.DUMMYFUNCTION("IF($C210 = """", """", IFNA(
  ROWS(
    FILTER(
      Events!$G$2:$G1000,
      Events!$B$2:$B1000 &gt;= TODAY() - 90,
      REGEXMATCH(
        "","" &amp; SUBSTITUTE(Events!$G$2:$G1000, "" "", """") &amp; "","",
        "","" &amp; SUBSTITUTE($C210, "" "", """") &amp; """&amp;",""
      )
    )
  ),
0)
)"),"")</f>
        <v/>
      </c>
      <c r="K210" s="7" t="str">
        <f t="shared" si="2"/>
        <v>#N/A</v>
      </c>
    </row>
    <row r="211">
      <c r="C211" s="6" t="str">
        <f t="shared" si="1"/>
        <v/>
      </c>
      <c r="J211" s="7" t="str">
        <f>IFERROR(__xludf.DUMMYFUNCTION("IF($C211 = """", """", IFNA(
  ROWS(
    FILTER(
      Events!$G$2:$G1000,
      Events!$B$2:$B1000 &gt;= TODAY() - 90,
      REGEXMATCH(
        "","" &amp; SUBSTITUTE(Events!$G$2:$G1000, "" "", """") &amp; "","",
        "","" &amp; SUBSTITUTE($C211, "" "", """") &amp; """&amp;",""
      )
    )
  ),
0)
)"),"")</f>
        <v/>
      </c>
      <c r="K211" s="7" t="str">
        <f t="shared" si="2"/>
        <v>#N/A</v>
      </c>
    </row>
    <row r="212">
      <c r="C212" s="6" t="str">
        <f t="shared" si="1"/>
        <v/>
      </c>
      <c r="J212" s="7" t="str">
        <f>IFERROR(__xludf.DUMMYFUNCTION("IF($C212 = """", """", IFNA(
  ROWS(
    FILTER(
      Events!$G$2:$G1000,
      Events!$B$2:$B1000 &gt;= TODAY() - 90,
      REGEXMATCH(
        "","" &amp; SUBSTITUTE(Events!$G$2:$G1000, "" "", """") &amp; "","",
        "","" &amp; SUBSTITUTE($C212, "" "", """") &amp; """&amp;",""
      )
    )
  ),
0)
)"),"")</f>
        <v/>
      </c>
      <c r="K212" s="7" t="str">
        <f t="shared" si="2"/>
        <v>#N/A</v>
      </c>
    </row>
    <row r="213">
      <c r="C213" s="6" t="str">
        <f t="shared" si="1"/>
        <v/>
      </c>
      <c r="J213" s="7" t="str">
        <f>IFERROR(__xludf.DUMMYFUNCTION("IF($C213 = """", """", IFNA(
  ROWS(
    FILTER(
      Events!$G$2:$G1000,
      Events!$B$2:$B1000 &gt;= TODAY() - 90,
      REGEXMATCH(
        "","" &amp; SUBSTITUTE(Events!$G$2:$G1000, "" "", """") &amp; "","",
        "","" &amp; SUBSTITUTE($C213, "" "", """") &amp; """&amp;",""
      )
    )
  ),
0)
)"),"")</f>
        <v/>
      </c>
      <c r="K213" s="7" t="str">
        <f t="shared" si="2"/>
        <v>#N/A</v>
      </c>
    </row>
    <row r="214">
      <c r="C214" s="6" t="str">
        <f t="shared" si="1"/>
        <v/>
      </c>
      <c r="J214" s="7" t="str">
        <f>IFERROR(__xludf.DUMMYFUNCTION("IF($C214 = """", """", IFNA(
  ROWS(
    FILTER(
      Events!$G$2:$G1000,
      Events!$B$2:$B1000 &gt;= TODAY() - 90,
      REGEXMATCH(
        "","" &amp; SUBSTITUTE(Events!$G$2:$G1000, "" "", """") &amp; "","",
        "","" &amp; SUBSTITUTE($C214, "" "", """") &amp; """&amp;",""
      )
    )
  ),
0)
)"),"")</f>
        <v/>
      </c>
      <c r="K214" s="7" t="str">
        <f t="shared" si="2"/>
        <v>#N/A</v>
      </c>
    </row>
    <row r="215">
      <c r="C215" s="6" t="str">
        <f t="shared" si="1"/>
        <v/>
      </c>
      <c r="J215" s="7" t="str">
        <f>IFERROR(__xludf.DUMMYFUNCTION("IF($C215 = """", """", IFNA(
  ROWS(
    FILTER(
      Events!$G$2:$G1000,
      Events!$B$2:$B1000 &gt;= TODAY() - 90,
      REGEXMATCH(
        "","" &amp; SUBSTITUTE(Events!$G$2:$G1000, "" "", """") &amp; "","",
        "","" &amp; SUBSTITUTE($C215, "" "", """") &amp; """&amp;",""
      )
    )
  ),
0)
)"),"")</f>
        <v/>
      </c>
      <c r="K215" s="7" t="str">
        <f t="shared" si="2"/>
        <v>#N/A</v>
      </c>
    </row>
    <row r="216">
      <c r="C216" s="6" t="str">
        <f t="shared" si="1"/>
        <v/>
      </c>
      <c r="J216" s="7" t="str">
        <f>IFERROR(__xludf.DUMMYFUNCTION("IF($C216 = """", """", IFNA(
  ROWS(
    FILTER(
      Events!$G$2:$G1000,
      Events!$B$2:$B1000 &gt;= TODAY() - 90,
      REGEXMATCH(
        "","" &amp; SUBSTITUTE(Events!$G$2:$G1000, "" "", """") &amp; "","",
        "","" &amp; SUBSTITUTE($C216, "" "", """") &amp; """&amp;",""
      )
    )
  ),
0)
)"),"")</f>
        <v/>
      </c>
      <c r="K216" s="7" t="str">
        <f t="shared" si="2"/>
        <v>#N/A</v>
      </c>
    </row>
    <row r="217">
      <c r="C217" s="6" t="str">
        <f t="shared" si="1"/>
        <v/>
      </c>
      <c r="J217" s="7" t="str">
        <f>IFERROR(__xludf.DUMMYFUNCTION("IF($C217 = """", """", IFNA(
  ROWS(
    FILTER(
      Events!$G$2:$G1000,
      Events!$B$2:$B1000 &gt;= TODAY() - 90,
      REGEXMATCH(
        "","" &amp; SUBSTITUTE(Events!$G$2:$G1000, "" "", """") &amp; "","",
        "","" &amp; SUBSTITUTE($C217, "" "", """") &amp; """&amp;",""
      )
    )
  ),
0)
)"),"")</f>
        <v/>
      </c>
      <c r="K217" s="7" t="str">
        <f t="shared" si="2"/>
        <v>#N/A</v>
      </c>
    </row>
    <row r="218">
      <c r="C218" s="6" t="str">
        <f t="shared" si="1"/>
        <v/>
      </c>
      <c r="J218" s="7" t="str">
        <f>IFERROR(__xludf.DUMMYFUNCTION("IF($C218 = """", """", IFNA(
  ROWS(
    FILTER(
      Events!$G$2:$G1000,
      Events!$B$2:$B1000 &gt;= TODAY() - 90,
      REGEXMATCH(
        "","" &amp; SUBSTITUTE(Events!$G$2:$G1000, "" "", """") &amp; "","",
        "","" &amp; SUBSTITUTE($C218, "" "", """") &amp; """&amp;",""
      )
    )
  ),
0)
)"),"")</f>
        <v/>
      </c>
      <c r="K218" s="7" t="str">
        <f t="shared" si="2"/>
        <v>#N/A</v>
      </c>
    </row>
    <row r="219">
      <c r="C219" s="6" t="str">
        <f t="shared" si="1"/>
        <v/>
      </c>
      <c r="J219" s="7" t="str">
        <f>IFERROR(__xludf.DUMMYFUNCTION("IF($C219 = """", """", IFNA(
  ROWS(
    FILTER(
      Events!$G$2:$G1000,
      Events!$B$2:$B1000 &gt;= TODAY() - 90,
      REGEXMATCH(
        "","" &amp; SUBSTITUTE(Events!$G$2:$G1000, "" "", """") &amp; "","",
        "","" &amp; SUBSTITUTE($C219, "" "", """") &amp; """&amp;",""
      )
    )
  ),
0)
)"),"")</f>
        <v/>
      </c>
      <c r="K219" s="7" t="str">
        <f t="shared" si="2"/>
        <v>#N/A</v>
      </c>
    </row>
    <row r="220">
      <c r="C220" s="6" t="str">
        <f t="shared" si="1"/>
        <v/>
      </c>
      <c r="J220" s="7" t="str">
        <f>IFERROR(__xludf.DUMMYFUNCTION("IF($C220 = """", """", IFNA(
  ROWS(
    FILTER(
      Events!$G$2:$G1000,
      Events!$B$2:$B1000 &gt;= TODAY() - 90,
      REGEXMATCH(
        "","" &amp; SUBSTITUTE(Events!$G$2:$G1000, "" "", """") &amp; "","",
        "","" &amp; SUBSTITUTE($C220, "" "", """") &amp; """&amp;",""
      )
    )
  ),
0)
)"),"")</f>
        <v/>
      </c>
      <c r="K220" s="7" t="str">
        <f t="shared" si="2"/>
        <v>#N/A</v>
      </c>
    </row>
    <row r="221">
      <c r="C221" s="6" t="str">
        <f t="shared" si="1"/>
        <v/>
      </c>
      <c r="J221" s="7" t="str">
        <f>IFERROR(__xludf.DUMMYFUNCTION("IF($C221 = """", """", IFNA(
  ROWS(
    FILTER(
      Events!$G$2:$G1000,
      Events!$B$2:$B1000 &gt;= TODAY() - 90,
      REGEXMATCH(
        "","" &amp; SUBSTITUTE(Events!$G$2:$G1000, "" "", """") &amp; "","",
        "","" &amp; SUBSTITUTE($C221, "" "", """") &amp; """&amp;",""
      )
    )
  ),
0)
)"),"")</f>
        <v/>
      </c>
      <c r="K221" s="7" t="str">
        <f t="shared" si="2"/>
        <v>#N/A</v>
      </c>
    </row>
    <row r="222">
      <c r="C222" s="6" t="str">
        <f t="shared" si="1"/>
        <v/>
      </c>
      <c r="J222" s="7" t="str">
        <f>IFERROR(__xludf.DUMMYFUNCTION("IF($C222 = """", """", IFNA(
  ROWS(
    FILTER(
      Events!$G$2:$G1000,
      Events!$B$2:$B1000 &gt;= TODAY() - 90,
      REGEXMATCH(
        "","" &amp; SUBSTITUTE(Events!$G$2:$G1000, "" "", """") &amp; "","",
        "","" &amp; SUBSTITUTE($C222, "" "", """") &amp; """&amp;",""
      )
    )
  ),
0)
)"),"")</f>
        <v/>
      </c>
      <c r="K222" s="7" t="str">
        <f t="shared" si="2"/>
        <v>#N/A</v>
      </c>
    </row>
    <row r="223">
      <c r="C223" s="6" t="str">
        <f t="shared" si="1"/>
        <v/>
      </c>
      <c r="J223" s="7" t="str">
        <f>IFERROR(__xludf.DUMMYFUNCTION("IF($C223 = """", """", IFNA(
  ROWS(
    FILTER(
      Events!$G$2:$G1000,
      Events!$B$2:$B1000 &gt;= TODAY() - 90,
      REGEXMATCH(
        "","" &amp; SUBSTITUTE(Events!$G$2:$G1000, "" "", """") &amp; "","",
        "","" &amp; SUBSTITUTE($C223, "" "", """") &amp; """&amp;",""
      )
    )
  ),
0)
)"),"")</f>
        <v/>
      </c>
      <c r="K223" s="7" t="str">
        <f t="shared" si="2"/>
        <v>#N/A</v>
      </c>
    </row>
    <row r="224">
      <c r="C224" s="6" t="str">
        <f t="shared" si="1"/>
        <v/>
      </c>
      <c r="J224" s="7" t="str">
        <f>IFERROR(__xludf.DUMMYFUNCTION("IF($C224 = """", """", IFNA(
  ROWS(
    FILTER(
      Events!$G$2:$G1000,
      Events!$B$2:$B1000 &gt;= TODAY() - 90,
      REGEXMATCH(
        "","" &amp; SUBSTITUTE(Events!$G$2:$G1000, "" "", """") &amp; "","",
        "","" &amp; SUBSTITUTE($C224, "" "", """") &amp; """&amp;",""
      )
    )
  ),
0)
)"),"")</f>
        <v/>
      </c>
      <c r="K224" s="7" t="str">
        <f t="shared" si="2"/>
        <v>#N/A</v>
      </c>
    </row>
    <row r="225">
      <c r="C225" s="6" t="str">
        <f t="shared" si="1"/>
        <v/>
      </c>
      <c r="J225" s="7" t="str">
        <f>IFERROR(__xludf.DUMMYFUNCTION("IF($C225 = """", """", IFNA(
  ROWS(
    FILTER(
      Events!$G$2:$G1000,
      Events!$B$2:$B1000 &gt;= TODAY() - 90,
      REGEXMATCH(
        "","" &amp; SUBSTITUTE(Events!$G$2:$G1000, "" "", """") &amp; "","",
        "","" &amp; SUBSTITUTE($C225, "" "", """") &amp; """&amp;",""
      )
    )
  ),
0)
)"),"")</f>
        <v/>
      </c>
      <c r="K225" s="7" t="str">
        <f t="shared" si="2"/>
        <v>#N/A</v>
      </c>
    </row>
    <row r="226">
      <c r="C226" s="6" t="str">
        <f t="shared" si="1"/>
        <v/>
      </c>
      <c r="J226" s="7" t="str">
        <f>IFERROR(__xludf.DUMMYFUNCTION("IF($C226 = """", """", IFNA(
  ROWS(
    FILTER(
      Events!$G$2:$G1000,
      Events!$B$2:$B1000 &gt;= TODAY() - 90,
      REGEXMATCH(
        "","" &amp; SUBSTITUTE(Events!$G$2:$G1000, "" "", """") &amp; "","",
        "","" &amp; SUBSTITUTE($C226, "" "", """") &amp; """&amp;",""
      )
    )
  ),
0)
)"),"")</f>
        <v/>
      </c>
      <c r="K226" s="7" t="str">
        <f t="shared" si="2"/>
        <v>#N/A</v>
      </c>
    </row>
    <row r="227">
      <c r="C227" s="6" t="str">
        <f t="shared" si="1"/>
        <v/>
      </c>
      <c r="J227" s="7" t="str">
        <f>IFERROR(__xludf.DUMMYFUNCTION("IF($C227 = """", """", IFNA(
  ROWS(
    FILTER(
      Events!$G$2:$G1000,
      Events!$B$2:$B1000 &gt;= TODAY() - 90,
      REGEXMATCH(
        "","" &amp; SUBSTITUTE(Events!$G$2:$G1000, "" "", """") &amp; "","",
        "","" &amp; SUBSTITUTE($C227, "" "", """") &amp; """&amp;",""
      )
    )
  ),
0)
)"),"")</f>
        <v/>
      </c>
      <c r="K227" s="7" t="str">
        <f t="shared" si="2"/>
        <v>#N/A</v>
      </c>
    </row>
    <row r="228">
      <c r="C228" s="6" t="str">
        <f t="shared" si="1"/>
        <v/>
      </c>
      <c r="J228" s="7" t="str">
        <f>IFERROR(__xludf.DUMMYFUNCTION("IF($C228 = """", """", IFNA(
  ROWS(
    FILTER(
      Events!$G$2:$G1000,
      Events!$B$2:$B1000 &gt;= TODAY() - 90,
      REGEXMATCH(
        "","" &amp; SUBSTITUTE(Events!$G$2:$G1000, "" "", """") &amp; "","",
        "","" &amp; SUBSTITUTE($C228, "" "", """") &amp; """&amp;",""
      )
    )
  ),
0)
)"),"")</f>
        <v/>
      </c>
      <c r="K228" s="7" t="str">
        <f t="shared" si="2"/>
        <v>#N/A</v>
      </c>
    </row>
    <row r="229">
      <c r="C229" s="6" t="str">
        <f t="shared" si="1"/>
        <v/>
      </c>
      <c r="J229" s="7" t="str">
        <f>IFERROR(__xludf.DUMMYFUNCTION("IF($C229 = """", """", IFNA(
  ROWS(
    FILTER(
      Events!$G$2:$G1000,
      Events!$B$2:$B1000 &gt;= TODAY() - 90,
      REGEXMATCH(
        "","" &amp; SUBSTITUTE(Events!$G$2:$G1000, "" "", """") &amp; "","",
        "","" &amp; SUBSTITUTE($C229, "" "", """") &amp; """&amp;",""
      )
    )
  ),
0)
)"),"")</f>
        <v/>
      </c>
      <c r="K229" s="7" t="str">
        <f t="shared" si="2"/>
        <v>#N/A</v>
      </c>
    </row>
    <row r="230">
      <c r="C230" s="6" t="str">
        <f t="shared" si="1"/>
        <v/>
      </c>
      <c r="J230" s="7" t="str">
        <f>IFERROR(__xludf.DUMMYFUNCTION("IF($C230 = """", """", IFNA(
  ROWS(
    FILTER(
      Events!$G$2:$G1000,
      Events!$B$2:$B1000 &gt;= TODAY() - 90,
      REGEXMATCH(
        "","" &amp; SUBSTITUTE(Events!$G$2:$G1000, "" "", """") &amp; "","",
        "","" &amp; SUBSTITUTE($C230, "" "", """") &amp; """&amp;",""
      )
    )
  ),
0)
)"),"")</f>
        <v/>
      </c>
      <c r="K230" s="7" t="str">
        <f t="shared" si="2"/>
        <v>#N/A</v>
      </c>
    </row>
    <row r="231">
      <c r="C231" s="6" t="str">
        <f t="shared" si="1"/>
        <v/>
      </c>
      <c r="J231" s="7" t="str">
        <f>IFERROR(__xludf.DUMMYFUNCTION("IF($C231 = """", """", IFNA(
  ROWS(
    FILTER(
      Events!$G$2:$G1000,
      Events!$B$2:$B1000 &gt;= TODAY() - 90,
      REGEXMATCH(
        "","" &amp; SUBSTITUTE(Events!$G$2:$G1000, "" "", """") &amp; "","",
        "","" &amp; SUBSTITUTE($C231, "" "", """") &amp; """&amp;",""
      )
    )
  ),
0)
)"),"")</f>
        <v/>
      </c>
      <c r="K231" s="7" t="str">
        <f t="shared" si="2"/>
        <v>#N/A</v>
      </c>
    </row>
    <row r="232">
      <c r="C232" s="6" t="str">
        <f t="shared" si="1"/>
        <v/>
      </c>
      <c r="J232" s="7" t="str">
        <f>IFERROR(__xludf.DUMMYFUNCTION("IF($C232 = """", """", IFNA(
  ROWS(
    FILTER(
      Events!$G$2:$G1000,
      Events!$B$2:$B1000 &gt;= TODAY() - 90,
      REGEXMATCH(
        "","" &amp; SUBSTITUTE(Events!$G$2:$G1000, "" "", """") &amp; "","",
        "","" &amp; SUBSTITUTE($C232, "" "", """") &amp; """&amp;",""
      )
    )
  ),
0)
)"),"")</f>
        <v/>
      </c>
      <c r="K232" s="7" t="str">
        <f t="shared" si="2"/>
        <v>#N/A</v>
      </c>
    </row>
    <row r="233">
      <c r="C233" s="6" t="str">
        <f t="shared" si="1"/>
        <v/>
      </c>
      <c r="J233" s="7" t="str">
        <f>IFERROR(__xludf.DUMMYFUNCTION("IF($C233 = """", """", IFNA(
  ROWS(
    FILTER(
      Events!$G$2:$G1000,
      Events!$B$2:$B1000 &gt;= TODAY() - 90,
      REGEXMATCH(
        "","" &amp; SUBSTITUTE(Events!$G$2:$G1000, "" "", """") &amp; "","",
        "","" &amp; SUBSTITUTE($C233, "" "", """") &amp; """&amp;",""
      )
    )
  ),
0)
)"),"")</f>
        <v/>
      </c>
      <c r="K233" s="7" t="str">
        <f t="shared" si="2"/>
        <v>#N/A</v>
      </c>
    </row>
    <row r="234">
      <c r="C234" s="6" t="str">
        <f t="shared" si="1"/>
        <v/>
      </c>
      <c r="J234" s="7" t="str">
        <f>IFERROR(__xludf.DUMMYFUNCTION("IF($C234 = """", """", IFNA(
  ROWS(
    FILTER(
      Events!$G$2:$G1000,
      Events!$B$2:$B1000 &gt;= TODAY() - 90,
      REGEXMATCH(
        "","" &amp; SUBSTITUTE(Events!$G$2:$G1000, "" "", """") &amp; "","",
        "","" &amp; SUBSTITUTE($C234, "" "", """") &amp; """&amp;",""
      )
    )
  ),
0)
)"),"")</f>
        <v/>
      </c>
      <c r="K234" s="7" t="str">
        <f t="shared" si="2"/>
        <v>#N/A</v>
      </c>
    </row>
    <row r="235">
      <c r="C235" s="6" t="str">
        <f t="shared" si="1"/>
        <v/>
      </c>
      <c r="J235" s="7" t="str">
        <f>IFERROR(__xludf.DUMMYFUNCTION("IF($C235 = """", """", IFNA(
  ROWS(
    FILTER(
      Events!$G$2:$G1000,
      Events!$B$2:$B1000 &gt;= TODAY() - 90,
      REGEXMATCH(
        "","" &amp; SUBSTITUTE(Events!$G$2:$G1000, "" "", """") &amp; "","",
        "","" &amp; SUBSTITUTE($C235, "" "", """") &amp; """&amp;",""
      )
    )
  ),
0)
)"),"")</f>
        <v/>
      </c>
      <c r="K235" s="7" t="str">
        <f t="shared" si="2"/>
        <v>#N/A</v>
      </c>
    </row>
    <row r="236">
      <c r="C236" s="6" t="str">
        <f t="shared" si="1"/>
        <v/>
      </c>
      <c r="J236" s="7" t="str">
        <f>IFERROR(__xludf.DUMMYFUNCTION("IF($C236 = """", """", IFNA(
  ROWS(
    FILTER(
      Events!$G$2:$G1000,
      Events!$B$2:$B1000 &gt;= TODAY() - 90,
      REGEXMATCH(
        "","" &amp; SUBSTITUTE(Events!$G$2:$G1000, "" "", """") &amp; "","",
        "","" &amp; SUBSTITUTE($C236, "" "", """") &amp; """&amp;",""
      )
    )
  ),
0)
)"),"")</f>
        <v/>
      </c>
      <c r="K236" s="7" t="str">
        <f t="shared" si="2"/>
        <v>#N/A</v>
      </c>
    </row>
    <row r="237">
      <c r="C237" s="6" t="str">
        <f t="shared" si="1"/>
        <v/>
      </c>
      <c r="J237" s="7" t="str">
        <f>IFERROR(__xludf.DUMMYFUNCTION("IF($C237 = """", """", IFNA(
  ROWS(
    FILTER(
      Events!$G$2:$G1000,
      Events!$B$2:$B1000 &gt;= TODAY() - 90,
      REGEXMATCH(
        "","" &amp; SUBSTITUTE(Events!$G$2:$G1000, "" "", """") &amp; "","",
        "","" &amp; SUBSTITUTE($C237, "" "", """") &amp; """&amp;",""
      )
    )
  ),
0)
)"),"")</f>
        <v/>
      </c>
      <c r="K237" s="7" t="str">
        <f t="shared" si="2"/>
        <v>#N/A</v>
      </c>
    </row>
    <row r="238">
      <c r="C238" s="6" t="str">
        <f t="shared" si="1"/>
        <v/>
      </c>
      <c r="J238" s="7" t="str">
        <f>IFERROR(__xludf.DUMMYFUNCTION("IF($C238 = """", """", IFNA(
  ROWS(
    FILTER(
      Events!$G$2:$G1000,
      Events!$B$2:$B1000 &gt;= TODAY() - 90,
      REGEXMATCH(
        "","" &amp; SUBSTITUTE(Events!$G$2:$G1000, "" "", """") &amp; "","",
        "","" &amp; SUBSTITUTE($C238, "" "", """") &amp; """&amp;",""
      )
    )
  ),
0)
)"),"")</f>
        <v/>
      </c>
      <c r="K238" s="7" t="str">
        <f t="shared" si="2"/>
        <v>#N/A</v>
      </c>
    </row>
    <row r="239">
      <c r="C239" s="6" t="str">
        <f t="shared" si="1"/>
        <v/>
      </c>
      <c r="J239" s="7" t="str">
        <f>IFERROR(__xludf.DUMMYFUNCTION("IF($C239 = """", """", IFNA(
  ROWS(
    FILTER(
      Events!$G$2:$G1000,
      Events!$B$2:$B1000 &gt;= TODAY() - 90,
      REGEXMATCH(
        "","" &amp; SUBSTITUTE(Events!$G$2:$G1000, "" "", """") &amp; "","",
        "","" &amp; SUBSTITUTE($C239, "" "", """") &amp; """&amp;",""
      )
    )
  ),
0)
)"),"")</f>
        <v/>
      </c>
      <c r="K239" s="7" t="str">
        <f t="shared" si="2"/>
        <v>#N/A</v>
      </c>
    </row>
    <row r="240">
      <c r="C240" s="6" t="str">
        <f t="shared" si="1"/>
        <v/>
      </c>
      <c r="J240" s="7" t="str">
        <f>IFERROR(__xludf.DUMMYFUNCTION("IF($C240 = """", """", IFNA(
  ROWS(
    FILTER(
      Events!$G$2:$G1000,
      Events!$B$2:$B1000 &gt;= TODAY() - 90,
      REGEXMATCH(
        "","" &amp; SUBSTITUTE(Events!$G$2:$G1000, "" "", """") &amp; "","",
        "","" &amp; SUBSTITUTE($C240, "" "", """") &amp; """&amp;",""
      )
    )
  ),
0)
)"),"")</f>
        <v/>
      </c>
      <c r="K240" s="7" t="str">
        <f t="shared" si="2"/>
        <v>#N/A</v>
      </c>
    </row>
    <row r="241">
      <c r="C241" s="6" t="str">
        <f t="shared" si="1"/>
        <v/>
      </c>
      <c r="J241" s="7" t="str">
        <f>IFERROR(__xludf.DUMMYFUNCTION("IF($C241 = """", """", IFNA(
  ROWS(
    FILTER(
      Events!$G$2:$G1000,
      Events!$B$2:$B1000 &gt;= TODAY() - 90,
      REGEXMATCH(
        "","" &amp; SUBSTITUTE(Events!$G$2:$G1000, "" "", """") &amp; "","",
        "","" &amp; SUBSTITUTE($C241, "" "", """") &amp; """&amp;",""
      )
    )
  ),
0)
)"),"")</f>
        <v/>
      </c>
      <c r="K241" s="7" t="str">
        <f t="shared" si="2"/>
        <v>#N/A</v>
      </c>
    </row>
    <row r="242">
      <c r="C242" s="6" t="str">
        <f t="shared" si="1"/>
        <v/>
      </c>
      <c r="J242" s="7" t="str">
        <f>IFERROR(__xludf.DUMMYFUNCTION("IF($C242 = """", """", IFNA(
  ROWS(
    FILTER(
      Events!$G$2:$G1000,
      Events!$B$2:$B1000 &gt;= TODAY() - 90,
      REGEXMATCH(
        "","" &amp; SUBSTITUTE(Events!$G$2:$G1000, "" "", """") &amp; "","",
        "","" &amp; SUBSTITUTE($C242, "" "", """") &amp; """&amp;",""
      )
    )
  ),
0)
)"),"")</f>
        <v/>
      </c>
      <c r="K242" s="7" t="str">
        <f t="shared" si="2"/>
        <v>#N/A</v>
      </c>
    </row>
    <row r="243">
      <c r="C243" s="6" t="str">
        <f t="shared" si="1"/>
        <v/>
      </c>
      <c r="J243" s="7" t="str">
        <f>IFERROR(__xludf.DUMMYFUNCTION("IF($C243 = """", """", IFNA(
  ROWS(
    FILTER(
      Events!$G$2:$G1000,
      Events!$B$2:$B1000 &gt;= TODAY() - 90,
      REGEXMATCH(
        "","" &amp; SUBSTITUTE(Events!$G$2:$G1000, "" "", """") &amp; "","",
        "","" &amp; SUBSTITUTE($C243, "" "", """") &amp; """&amp;",""
      )
    )
  ),
0)
)"),"")</f>
        <v/>
      </c>
      <c r="K243" s="7" t="str">
        <f t="shared" si="2"/>
        <v>#N/A</v>
      </c>
    </row>
    <row r="244">
      <c r="C244" s="6" t="str">
        <f t="shared" si="1"/>
        <v/>
      </c>
      <c r="J244" s="7" t="str">
        <f>IFERROR(__xludf.DUMMYFUNCTION("IF($C244 = """", """", IFNA(
  ROWS(
    FILTER(
      Events!$G$2:$G1000,
      Events!$B$2:$B1000 &gt;= TODAY() - 90,
      REGEXMATCH(
        "","" &amp; SUBSTITUTE(Events!$G$2:$G1000, "" "", """") &amp; "","",
        "","" &amp; SUBSTITUTE($C244, "" "", """") &amp; """&amp;",""
      )
    )
  ),
0)
)"),"")</f>
        <v/>
      </c>
      <c r="K244" s="7" t="str">
        <f t="shared" si="2"/>
        <v>#N/A</v>
      </c>
    </row>
    <row r="245">
      <c r="C245" s="6" t="str">
        <f t="shared" si="1"/>
        <v/>
      </c>
      <c r="J245" s="7" t="str">
        <f>IFERROR(__xludf.DUMMYFUNCTION("IF($C245 = """", """", IFNA(
  ROWS(
    FILTER(
      Events!$G$2:$G1000,
      Events!$B$2:$B1000 &gt;= TODAY() - 90,
      REGEXMATCH(
        "","" &amp; SUBSTITUTE(Events!$G$2:$G1000, "" "", """") &amp; "","",
        "","" &amp; SUBSTITUTE($C245, "" "", """") &amp; """&amp;",""
      )
    )
  ),
0)
)"),"")</f>
        <v/>
      </c>
      <c r="K245" s="7" t="str">
        <f t="shared" si="2"/>
        <v>#N/A</v>
      </c>
    </row>
    <row r="246">
      <c r="C246" s="6" t="str">
        <f t="shared" si="1"/>
        <v/>
      </c>
      <c r="J246" s="7" t="str">
        <f>IFERROR(__xludf.DUMMYFUNCTION("IF($C246 = """", """", IFNA(
  ROWS(
    FILTER(
      Events!$G$2:$G1000,
      Events!$B$2:$B1000 &gt;= TODAY() - 90,
      REGEXMATCH(
        "","" &amp; SUBSTITUTE(Events!$G$2:$G1000, "" "", """") &amp; "","",
        "","" &amp; SUBSTITUTE($C246, "" "", """") &amp; """&amp;",""
      )
    )
  ),
0)
)"),"")</f>
        <v/>
      </c>
      <c r="K246" s="7" t="str">
        <f t="shared" si="2"/>
        <v>#N/A</v>
      </c>
    </row>
    <row r="247">
      <c r="C247" s="6" t="str">
        <f t="shared" si="1"/>
        <v/>
      </c>
      <c r="J247" s="7" t="str">
        <f>IFERROR(__xludf.DUMMYFUNCTION("IF($C247 = """", """", IFNA(
  ROWS(
    FILTER(
      Events!$G$2:$G1000,
      Events!$B$2:$B1000 &gt;= TODAY() - 90,
      REGEXMATCH(
        "","" &amp; SUBSTITUTE(Events!$G$2:$G1000, "" "", """") &amp; "","",
        "","" &amp; SUBSTITUTE($C247, "" "", """") &amp; """&amp;",""
      )
    )
  ),
0)
)"),"")</f>
        <v/>
      </c>
      <c r="K247" s="7" t="str">
        <f t="shared" si="2"/>
        <v>#N/A</v>
      </c>
    </row>
    <row r="248">
      <c r="C248" s="6" t="str">
        <f t="shared" si="1"/>
        <v/>
      </c>
      <c r="J248" s="7" t="str">
        <f>IFERROR(__xludf.DUMMYFUNCTION("IF($C248 = """", """", IFNA(
  ROWS(
    FILTER(
      Events!$G$2:$G1000,
      Events!$B$2:$B1000 &gt;= TODAY() - 90,
      REGEXMATCH(
        "","" &amp; SUBSTITUTE(Events!$G$2:$G1000, "" "", """") &amp; "","",
        "","" &amp; SUBSTITUTE($C248, "" "", """") &amp; """&amp;",""
      )
    )
  ),
0)
)"),"")</f>
        <v/>
      </c>
      <c r="K248" s="7" t="str">
        <f t="shared" si="2"/>
        <v>#N/A</v>
      </c>
    </row>
    <row r="249">
      <c r="C249" s="6" t="str">
        <f t="shared" si="1"/>
        <v/>
      </c>
      <c r="J249" s="7" t="str">
        <f>IFERROR(__xludf.DUMMYFUNCTION("IF($C249 = """", """", IFNA(
  ROWS(
    FILTER(
      Events!$G$2:$G1000,
      Events!$B$2:$B1000 &gt;= TODAY() - 90,
      REGEXMATCH(
        "","" &amp; SUBSTITUTE(Events!$G$2:$G1000, "" "", """") &amp; "","",
        "","" &amp; SUBSTITUTE($C249, "" "", """") &amp; """&amp;",""
      )
    )
  ),
0)
)"),"")</f>
        <v/>
      </c>
      <c r="K249" s="7" t="str">
        <f t="shared" si="2"/>
        <v>#N/A</v>
      </c>
    </row>
    <row r="250">
      <c r="C250" s="6" t="str">
        <f t="shared" si="1"/>
        <v/>
      </c>
      <c r="J250" s="7" t="str">
        <f>IFERROR(__xludf.DUMMYFUNCTION("IF($C250 = """", """", IFNA(
  ROWS(
    FILTER(
      Events!$G$2:$G1000,
      Events!$B$2:$B1000 &gt;= TODAY() - 90,
      REGEXMATCH(
        "","" &amp; SUBSTITUTE(Events!$G$2:$G1000, "" "", """") &amp; "","",
        "","" &amp; SUBSTITUTE($C250, "" "", """") &amp; """&amp;",""
      )
    )
  ),
0)
)"),"")</f>
        <v/>
      </c>
      <c r="K250" s="7" t="str">
        <f t="shared" si="2"/>
        <v>#N/A</v>
      </c>
    </row>
    <row r="251">
      <c r="C251" s="6" t="str">
        <f t="shared" si="1"/>
        <v/>
      </c>
      <c r="J251" s="7" t="str">
        <f>IFERROR(__xludf.DUMMYFUNCTION("IF($C251 = """", """", IFNA(
  ROWS(
    FILTER(
      Events!$G$2:$G1000,
      Events!$B$2:$B1000 &gt;= TODAY() - 90,
      REGEXMATCH(
        "","" &amp; SUBSTITUTE(Events!$G$2:$G1000, "" "", """") &amp; "","",
        "","" &amp; SUBSTITUTE($C251, "" "", """") &amp; """&amp;",""
      )
    )
  ),
0)
)"),"")</f>
        <v/>
      </c>
      <c r="K251" s="7" t="str">
        <f t="shared" si="2"/>
        <v>#N/A</v>
      </c>
    </row>
    <row r="252">
      <c r="C252" s="6" t="str">
        <f t="shared" si="1"/>
        <v/>
      </c>
      <c r="J252" s="7" t="str">
        <f>IFERROR(__xludf.DUMMYFUNCTION("IF($C252 = """", """", IFNA(
  ROWS(
    FILTER(
      Events!$G$2:$G1000,
      Events!$B$2:$B1000 &gt;= TODAY() - 90,
      REGEXMATCH(
        "","" &amp; SUBSTITUTE(Events!$G$2:$G1000, "" "", """") &amp; "","",
        "","" &amp; SUBSTITUTE($C252, "" "", """") &amp; """&amp;",""
      )
    )
  ),
0)
)"),"")</f>
        <v/>
      </c>
      <c r="K252" s="7" t="str">
        <f t="shared" si="2"/>
        <v>#N/A</v>
      </c>
    </row>
    <row r="253">
      <c r="C253" s="6" t="str">
        <f t="shared" si="1"/>
        <v/>
      </c>
      <c r="J253" s="7" t="str">
        <f>IFERROR(__xludf.DUMMYFUNCTION("IF($C253 = """", """", IFNA(
  ROWS(
    FILTER(
      Events!$G$2:$G1000,
      Events!$B$2:$B1000 &gt;= TODAY() - 90,
      REGEXMATCH(
        "","" &amp; SUBSTITUTE(Events!$G$2:$G1000, "" "", """") &amp; "","",
        "","" &amp; SUBSTITUTE($C253, "" "", """") &amp; """&amp;",""
      )
    )
  ),
0)
)"),"")</f>
        <v/>
      </c>
      <c r="K253" s="7" t="str">
        <f t="shared" si="2"/>
        <v>#N/A</v>
      </c>
    </row>
    <row r="254">
      <c r="C254" s="6" t="str">
        <f t="shared" si="1"/>
        <v/>
      </c>
      <c r="J254" s="7" t="str">
        <f>IFERROR(__xludf.DUMMYFUNCTION("IF($C254 = """", """", IFNA(
  ROWS(
    FILTER(
      Events!$G$2:$G1000,
      Events!$B$2:$B1000 &gt;= TODAY() - 90,
      REGEXMATCH(
        "","" &amp; SUBSTITUTE(Events!$G$2:$G1000, "" "", """") &amp; "","",
        "","" &amp; SUBSTITUTE($C254, "" "", """") &amp; """&amp;",""
      )
    )
  ),
0)
)"),"")</f>
        <v/>
      </c>
      <c r="K254" s="7" t="str">
        <f t="shared" si="2"/>
        <v>#N/A</v>
      </c>
    </row>
    <row r="255">
      <c r="C255" s="6" t="str">
        <f t="shared" si="1"/>
        <v/>
      </c>
      <c r="J255" s="7" t="str">
        <f>IFERROR(__xludf.DUMMYFUNCTION("IF($C255 = """", """", IFNA(
  ROWS(
    FILTER(
      Events!$G$2:$G1000,
      Events!$B$2:$B1000 &gt;= TODAY() - 90,
      REGEXMATCH(
        "","" &amp; SUBSTITUTE(Events!$G$2:$G1000, "" "", """") &amp; "","",
        "","" &amp; SUBSTITUTE($C255, "" "", """") &amp; """&amp;",""
      )
    )
  ),
0)
)"),"")</f>
        <v/>
      </c>
      <c r="K255" s="7" t="str">
        <f t="shared" si="2"/>
        <v>#N/A</v>
      </c>
    </row>
    <row r="256">
      <c r="C256" s="6" t="str">
        <f t="shared" si="1"/>
        <v/>
      </c>
      <c r="J256" s="7" t="str">
        <f>IFERROR(__xludf.DUMMYFUNCTION("IF($C256 = """", """", IFNA(
  ROWS(
    FILTER(
      Events!$G$2:$G1000,
      Events!$B$2:$B1000 &gt;= TODAY() - 90,
      REGEXMATCH(
        "","" &amp; SUBSTITUTE(Events!$G$2:$G1000, "" "", """") &amp; "","",
        "","" &amp; SUBSTITUTE($C256, "" "", """") &amp; """&amp;",""
      )
    )
  ),
0)
)"),"")</f>
        <v/>
      </c>
      <c r="K256" s="7" t="str">
        <f t="shared" si="2"/>
        <v>#N/A</v>
      </c>
    </row>
    <row r="257">
      <c r="C257" s="6" t="str">
        <f t="shared" si="1"/>
        <v/>
      </c>
      <c r="J257" s="7" t="str">
        <f>IFERROR(__xludf.DUMMYFUNCTION("IF($C257 = """", """", IFNA(
  ROWS(
    FILTER(
      Events!$G$2:$G1000,
      Events!$B$2:$B1000 &gt;= TODAY() - 90,
      REGEXMATCH(
        "","" &amp; SUBSTITUTE(Events!$G$2:$G1000, "" "", """") &amp; "","",
        "","" &amp; SUBSTITUTE($C257, "" "", """") &amp; """&amp;",""
      )
    )
  ),
0)
)"),"")</f>
        <v/>
      </c>
      <c r="K257" s="7" t="str">
        <f t="shared" si="2"/>
        <v>#N/A</v>
      </c>
    </row>
    <row r="258">
      <c r="C258" s="6" t="str">
        <f t="shared" si="1"/>
        <v/>
      </c>
      <c r="J258" s="7" t="str">
        <f>IFERROR(__xludf.DUMMYFUNCTION("IF($C258 = """", """", IFNA(
  ROWS(
    FILTER(
      Events!$G$2:$G1000,
      Events!$B$2:$B1000 &gt;= TODAY() - 90,
      REGEXMATCH(
        "","" &amp; SUBSTITUTE(Events!$G$2:$G1000, "" "", """") &amp; "","",
        "","" &amp; SUBSTITUTE($C258, "" "", """") &amp; """&amp;",""
      )
    )
  ),
0)
)"),"")</f>
        <v/>
      </c>
      <c r="K258" s="7" t="str">
        <f t="shared" si="2"/>
        <v>#N/A</v>
      </c>
    </row>
    <row r="259">
      <c r="C259" s="6" t="str">
        <f t="shared" si="1"/>
        <v/>
      </c>
      <c r="J259" s="7" t="str">
        <f>IFERROR(__xludf.DUMMYFUNCTION("IF($C259 = """", """", IFNA(
  ROWS(
    FILTER(
      Events!$G$2:$G1000,
      Events!$B$2:$B1000 &gt;= TODAY() - 90,
      REGEXMATCH(
        "","" &amp; SUBSTITUTE(Events!$G$2:$G1000, "" "", """") &amp; "","",
        "","" &amp; SUBSTITUTE($C259, "" "", """") &amp; """&amp;",""
      )
    )
  ),
0)
)"),"")</f>
        <v/>
      </c>
      <c r="K259" s="7" t="str">
        <f t="shared" si="2"/>
        <v>#N/A</v>
      </c>
    </row>
    <row r="260">
      <c r="C260" s="6" t="str">
        <f t="shared" si="1"/>
        <v/>
      </c>
      <c r="J260" s="7" t="str">
        <f>IFERROR(__xludf.DUMMYFUNCTION("IF($C260 = """", """", IFNA(
  ROWS(
    FILTER(
      Events!$G$2:$G1000,
      Events!$B$2:$B1000 &gt;= TODAY() - 90,
      REGEXMATCH(
        "","" &amp; SUBSTITUTE(Events!$G$2:$G1000, "" "", """") &amp; "","",
        "","" &amp; SUBSTITUTE($C260, "" "", """") &amp; """&amp;",""
      )
    )
  ),
0)
)"),"")</f>
        <v/>
      </c>
      <c r="K260" s="7" t="str">
        <f t="shared" si="2"/>
        <v>#N/A</v>
      </c>
    </row>
    <row r="261">
      <c r="C261" s="6" t="str">
        <f t="shared" si="1"/>
        <v/>
      </c>
      <c r="J261" s="7" t="str">
        <f>IFERROR(__xludf.DUMMYFUNCTION("IF($C261 = """", """", IFNA(
  ROWS(
    FILTER(
      Events!$G$2:$G1000,
      Events!$B$2:$B1000 &gt;= TODAY() - 90,
      REGEXMATCH(
        "","" &amp; SUBSTITUTE(Events!$G$2:$G1000, "" "", """") &amp; "","",
        "","" &amp; SUBSTITUTE($C261, "" "", """") &amp; """&amp;",""
      )
    )
  ),
0)
)"),"")</f>
        <v/>
      </c>
      <c r="K261" s="7" t="str">
        <f t="shared" si="2"/>
        <v>#N/A</v>
      </c>
    </row>
    <row r="262">
      <c r="C262" s="6" t="str">
        <f t="shared" si="1"/>
        <v/>
      </c>
      <c r="J262" s="7" t="str">
        <f>IFERROR(__xludf.DUMMYFUNCTION("IF($C262 = """", """", IFNA(
  ROWS(
    FILTER(
      Events!$G$2:$G1000,
      Events!$B$2:$B1000 &gt;= TODAY() - 90,
      REGEXMATCH(
        "","" &amp; SUBSTITUTE(Events!$G$2:$G1000, "" "", """") &amp; "","",
        "","" &amp; SUBSTITUTE($C262, "" "", """") &amp; """&amp;",""
      )
    )
  ),
0)
)"),"")</f>
        <v/>
      </c>
      <c r="K262" s="7" t="str">
        <f t="shared" si="2"/>
        <v>#N/A</v>
      </c>
    </row>
    <row r="263">
      <c r="C263" s="6" t="str">
        <f t="shared" si="1"/>
        <v/>
      </c>
      <c r="J263" s="7" t="str">
        <f>IFERROR(__xludf.DUMMYFUNCTION("IF($C263 = """", """", IFNA(
  ROWS(
    FILTER(
      Events!$G$2:$G1000,
      Events!$B$2:$B1000 &gt;= TODAY() - 90,
      REGEXMATCH(
        "","" &amp; SUBSTITUTE(Events!$G$2:$G1000, "" "", """") &amp; "","",
        "","" &amp; SUBSTITUTE($C263, "" "", """") &amp; """&amp;",""
      )
    )
  ),
0)
)"),"")</f>
        <v/>
      </c>
      <c r="K263" s="7" t="str">
        <f t="shared" si="2"/>
        <v>#N/A</v>
      </c>
    </row>
    <row r="264">
      <c r="C264" s="6" t="str">
        <f t="shared" si="1"/>
        <v/>
      </c>
      <c r="J264" s="7" t="str">
        <f>IFERROR(__xludf.DUMMYFUNCTION("IF($C264 = """", """", IFNA(
  ROWS(
    FILTER(
      Events!$G$2:$G1000,
      Events!$B$2:$B1000 &gt;= TODAY() - 90,
      REGEXMATCH(
        "","" &amp; SUBSTITUTE(Events!$G$2:$G1000, "" "", """") &amp; "","",
        "","" &amp; SUBSTITUTE($C264, "" "", """") &amp; """&amp;",""
      )
    )
  ),
0)
)"),"")</f>
        <v/>
      </c>
      <c r="K264" s="7" t="str">
        <f t="shared" si="2"/>
        <v>#N/A</v>
      </c>
    </row>
    <row r="265">
      <c r="C265" s="6" t="str">
        <f t="shared" si="1"/>
        <v/>
      </c>
      <c r="J265" s="7" t="str">
        <f>IFERROR(__xludf.DUMMYFUNCTION("IF($C265 = """", """", IFNA(
  ROWS(
    FILTER(
      Events!$G$2:$G1000,
      Events!$B$2:$B1000 &gt;= TODAY() - 90,
      REGEXMATCH(
        "","" &amp; SUBSTITUTE(Events!$G$2:$G1000, "" "", """") &amp; "","",
        "","" &amp; SUBSTITUTE($C265, "" "", """") &amp; """&amp;",""
      )
    )
  ),
0)
)"),"")</f>
        <v/>
      </c>
      <c r="K265" s="7" t="str">
        <f t="shared" si="2"/>
        <v>#N/A</v>
      </c>
    </row>
    <row r="266">
      <c r="C266" s="6" t="str">
        <f t="shared" si="1"/>
        <v/>
      </c>
      <c r="J266" s="7" t="str">
        <f>IFERROR(__xludf.DUMMYFUNCTION("IF($C266 = """", """", IFNA(
  ROWS(
    FILTER(
      Events!$G$2:$G1000,
      Events!$B$2:$B1000 &gt;= TODAY() - 90,
      REGEXMATCH(
        "","" &amp; SUBSTITUTE(Events!$G$2:$G1000, "" "", """") &amp; "","",
        "","" &amp; SUBSTITUTE($C266, "" "", """") &amp; """&amp;",""
      )
    )
  ),
0)
)"),"")</f>
        <v/>
      </c>
      <c r="K266" s="7" t="str">
        <f t="shared" si="2"/>
        <v>#N/A</v>
      </c>
    </row>
    <row r="267">
      <c r="C267" s="6" t="str">
        <f t="shared" si="1"/>
        <v/>
      </c>
      <c r="J267" s="7" t="str">
        <f>IFERROR(__xludf.DUMMYFUNCTION("IF($C267 = """", """", IFNA(
  ROWS(
    FILTER(
      Events!$G$2:$G1000,
      Events!$B$2:$B1000 &gt;= TODAY() - 90,
      REGEXMATCH(
        "","" &amp; SUBSTITUTE(Events!$G$2:$G1000, "" "", """") &amp; "","",
        "","" &amp; SUBSTITUTE($C267, "" "", """") &amp; """&amp;",""
      )
    )
  ),
0)
)"),"")</f>
        <v/>
      </c>
      <c r="K267" s="7" t="str">
        <f t="shared" si="2"/>
        <v>#N/A</v>
      </c>
    </row>
    <row r="268">
      <c r="C268" s="6" t="str">
        <f t="shared" si="1"/>
        <v/>
      </c>
      <c r="J268" s="7" t="str">
        <f>IFERROR(__xludf.DUMMYFUNCTION("IF($C268 = """", """", IFNA(
  ROWS(
    FILTER(
      Events!$G$2:$G1000,
      Events!$B$2:$B1000 &gt;= TODAY() - 90,
      REGEXMATCH(
        "","" &amp; SUBSTITUTE(Events!$G$2:$G1000, "" "", """") &amp; "","",
        "","" &amp; SUBSTITUTE($C268, "" "", """") &amp; """&amp;",""
      )
    )
  ),
0)
)"),"")</f>
        <v/>
      </c>
      <c r="K268" s="7" t="str">
        <f t="shared" si="2"/>
        <v>#N/A</v>
      </c>
    </row>
    <row r="269">
      <c r="C269" s="6" t="str">
        <f t="shared" si="1"/>
        <v/>
      </c>
      <c r="J269" s="7" t="str">
        <f>IFERROR(__xludf.DUMMYFUNCTION("IF($C269 = """", """", IFNA(
  ROWS(
    FILTER(
      Events!$G$2:$G1000,
      Events!$B$2:$B1000 &gt;= TODAY() - 90,
      REGEXMATCH(
        "","" &amp; SUBSTITUTE(Events!$G$2:$G1000, "" "", """") &amp; "","",
        "","" &amp; SUBSTITUTE($C269, "" "", """") &amp; """&amp;",""
      )
    )
  ),
0)
)"),"")</f>
        <v/>
      </c>
      <c r="K269" s="7" t="str">
        <f t="shared" si="2"/>
        <v>#N/A</v>
      </c>
    </row>
    <row r="270">
      <c r="C270" s="6" t="str">
        <f t="shared" si="1"/>
        <v/>
      </c>
      <c r="J270" s="7" t="str">
        <f>IFERROR(__xludf.DUMMYFUNCTION("IF($C270 = """", """", IFNA(
  ROWS(
    FILTER(
      Events!$G$2:$G1000,
      Events!$B$2:$B1000 &gt;= TODAY() - 90,
      REGEXMATCH(
        "","" &amp; SUBSTITUTE(Events!$G$2:$G1000, "" "", """") &amp; "","",
        "","" &amp; SUBSTITUTE($C270, "" "", """") &amp; """&amp;",""
      )
    )
  ),
0)
)"),"")</f>
        <v/>
      </c>
      <c r="K270" s="7" t="str">
        <f t="shared" si="2"/>
        <v>#N/A</v>
      </c>
    </row>
    <row r="271">
      <c r="C271" s="6" t="str">
        <f t="shared" si="1"/>
        <v/>
      </c>
      <c r="J271" s="7" t="str">
        <f>IFERROR(__xludf.DUMMYFUNCTION("IF($C271 = """", """", IFNA(
  ROWS(
    FILTER(
      Events!$G$2:$G1000,
      Events!$B$2:$B1000 &gt;= TODAY() - 90,
      REGEXMATCH(
        "","" &amp; SUBSTITUTE(Events!$G$2:$G1000, "" "", """") &amp; "","",
        "","" &amp; SUBSTITUTE($C271, "" "", """") &amp; """&amp;",""
      )
    )
  ),
0)
)"),"")</f>
        <v/>
      </c>
      <c r="K271" s="7" t="str">
        <f t="shared" si="2"/>
        <v>#N/A</v>
      </c>
    </row>
    <row r="272">
      <c r="C272" s="6" t="str">
        <f t="shared" si="1"/>
        <v/>
      </c>
      <c r="J272" s="7" t="str">
        <f>IFERROR(__xludf.DUMMYFUNCTION("IF($C272 = """", """", IFNA(
  ROWS(
    FILTER(
      Events!$G$2:$G1000,
      Events!$B$2:$B1000 &gt;= TODAY() - 90,
      REGEXMATCH(
        "","" &amp; SUBSTITUTE(Events!$G$2:$G1000, "" "", """") &amp; "","",
        "","" &amp; SUBSTITUTE($C272, "" "", """") &amp; """&amp;",""
      )
    )
  ),
0)
)"),"")</f>
        <v/>
      </c>
      <c r="K272" s="7" t="str">
        <f t="shared" si="2"/>
        <v>#N/A</v>
      </c>
    </row>
    <row r="273">
      <c r="C273" s="6" t="str">
        <f t="shared" si="1"/>
        <v/>
      </c>
      <c r="J273" s="7" t="str">
        <f>IFERROR(__xludf.DUMMYFUNCTION("IF($C273 = """", """", IFNA(
  ROWS(
    FILTER(
      Events!$G$2:$G1000,
      Events!$B$2:$B1000 &gt;= TODAY() - 90,
      REGEXMATCH(
        "","" &amp; SUBSTITUTE(Events!$G$2:$G1000, "" "", """") &amp; "","",
        "","" &amp; SUBSTITUTE($C273, "" "", """") &amp; """&amp;",""
      )
    )
  ),
0)
)"),"")</f>
        <v/>
      </c>
      <c r="K273" s="7" t="str">
        <f t="shared" si="2"/>
        <v>#N/A</v>
      </c>
    </row>
    <row r="274">
      <c r="C274" s="6" t="str">
        <f t="shared" si="1"/>
        <v/>
      </c>
      <c r="J274" s="7" t="str">
        <f>IFERROR(__xludf.DUMMYFUNCTION("IF($C274 = """", """", IFNA(
  ROWS(
    FILTER(
      Events!$G$2:$G1000,
      Events!$B$2:$B1000 &gt;= TODAY() - 90,
      REGEXMATCH(
        "","" &amp; SUBSTITUTE(Events!$G$2:$G1000, "" "", """") &amp; "","",
        "","" &amp; SUBSTITUTE($C274, "" "", """") &amp; """&amp;",""
      )
    )
  ),
0)
)"),"")</f>
        <v/>
      </c>
      <c r="K274" s="7" t="str">
        <f t="shared" si="2"/>
        <v>#N/A</v>
      </c>
    </row>
    <row r="275">
      <c r="C275" s="6" t="str">
        <f t="shared" si="1"/>
        <v/>
      </c>
      <c r="J275" s="7" t="str">
        <f>IFERROR(__xludf.DUMMYFUNCTION("IF($C275 = """", """", IFNA(
  ROWS(
    FILTER(
      Events!$G$2:$G1000,
      Events!$B$2:$B1000 &gt;= TODAY() - 90,
      REGEXMATCH(
        "","" &amp; SUBSTITUTE(Events!$G$2:$G1000, "" "", """") &amp; "","",
        "","" &amp; SUBSTITUTE($C275, "" "", """") &amp; """&amp;",""
      )
    )
  ),
0)
)"),"")</f>
        <v/>
      </c>
      <c r="K275" s="7" t="str">
        <f t="shared" si="2"/>
        <v>#N/A</v>
      </c>
    </row>
    <row r="276">
      <c r="C276" s="6" t="str">
        <f t="shared" si="1"/>
        <v/>
      </c>
      <c r="J276" s="7" t="str">
        <f>IFERROR(__xludf.DUMMYFUNCTION("IF($C276 = """", """", IFNA(
  ROWS(
    FILTER(
      Events!$G$2:$G1000,
      Events!$B$2:$B1000 &gt;= TODAY() - 90,
      REGEXMATCH(
        "","" &amp; SUBSTITUTE(Events!$G$2:$G1000, "" "", """") &amp; "","",
        "","" &amp; SUBSTITUTE($C276, "" "", """") &amp; """&amp;",""
      )
    )
  ),
0)
)"),"")</f>
        <v/>
      </c>
      <c r="K276" s="7" t="str">
        <f t="shared" si="2"/>
        <v>#N/A</v>
      </c>
    </row>
    <row r="277">
      <c r="C277" s="6" t="str">
        <f t="shared" si="1"/>
        <v/>
      </c>
      <c r="J277" s="7" t="str">
        <f>IFERROR(__xludf.DUMMYFUNCTION("IF($C277 = """", """", IFNA(
  ROWS(
    FILTER(
      Events!$G$2:$G1000,
      Events!$B$2:$B1000 &gt;= TODAY() - 90,
      REGEXMATCH(
        "","" &amp; SUBSTITUTE(Events!$G$2:$G1000, "" "", """") &amp; "","",
        "","" &amp; SUBSTITUTE($C277, "" "", """") &amp; """&amp;",""
      )
    )
  ),
0)
)"),"")</f>
        <v/>
      </c>
      <c r="K277" s="7" t="str">
        <f t="shared" si="2"/>
        <v>#N/A</v>
      </c>
    </row>
    <row r="278">
      <c r="C278" s="6" t="str">
        <f t="shared" si="1"/>
        <v/>
      </c>
      <c r="J278" s="7" t="str">
        <f>IFERROR(__xludf.DUMMYFUNCTION("IF($C278 = """", """", IFNA(
  ROWS(
    FILTER(
      Events!$G$2:$G1000,
      Events!$B$2:$B1000 &gt;= TODAY() - 90,
      REGEXMATCH(
        "","" &amp; SUBSTITUTE(Events!$G$2:$G1000, "" "", """") &amp; "","",
        "","" &amp; SUBSTITUTE($C278, "" "", """") &amp; """&amp;",""
      )
    )
  ),
0)
)"),"")</f>
        <v/>
      </c>
      <c r="K278" s="7" t="str">
        <f t="shared" si="2"/>
        <v>#N/A</v>
      </c>
    </row>
    <row r="279">
      <c r="C279" s="6" t="str">
        <f t="shared" si="1"/>
        <v/>
      </c>
      <c r="J279" s="7" t="str">
        <f>IFERROR(__xludf.DUMMYFUNCTION("IF($C279 = """", """", IFNA(
  ROWS(
    FILTER(
      Events!$G$2:$G1000,
      Events!$B$2:$B1000 &gt;= TODAY() - 90,
      REGEXMATCH(
        "","" &amp; SUBSTITUTE(Events!$G$2:$G1000, "" "", """") &amp; "","",
        "","" &amp; SUBSTITUTE($C279, "" "", """") &amp; """&amp;",""
      )
    )
  ),
0)
)"),"")</f>
        <v/>
      </c>
      <c r="K279" s="7" t="str">
        <f t="shared" si="2"/>
        <v>#N/A</v>
      </c>
    </row>
    <row r="280">
      <c r="C280" s="6" t="str">
        <f t="shared" si="1"/>
        <v/>
      </c>
      <c r="J280" s="7" t="str">
        <f>IFERROR(__xludf.DUMMYFUNCTION("IF($C280 = """", """", IFNA(
  ROWS(
    FILTER(
      Events!$G$2:$G1000,
      Events!$B$2:$B1000 &gt;= TODAY() - 90,
      REGEXMATCH(
        "","" &amp; SUBSTITUTE(Events!$G$2:$G1000, "" "", """") &amp; "","",
        "","" &amp; SUBSTITUTE($C280, "" "", """") &amp; """&amp;",""
      )
    )
  ),
0)
)"),"")</f>
        <v/>
      </c>
      <c r="K280" s="7" t="str">
        <f t="shared" si="2"/>
        <v>#N/A</v>
      </c>
    </row>
    <row r="281">
      <c r="C281" s="6" t="str">
        <f t="shared" si="1"/>
        <v/>
      </c>
      <c r="J281" s="7" t="str">
        <f>IFERROR(__xludf.DUMMYFUNCTION("IF($C281 = """", """", IFNA(
  ROWS(
    FILTER(
      Events!$G$2:$G1000,
      Events!$B$2:$B1000 &gt;= TODAY() - 90,
      REGEXMATCH(
        "","" &amp; SUBSTITUTE(Events!$G$2:$G1000, "" "", """") &amp; "","",
        "","" &amp; SUBSTITUTE($C281, "" "", """") &amp; """&amp;",""
      )
    )
  ),
0)
)"),"")</f>
        <v/>
      </c>
      <c r="K281" s="7" t="str">
        <f t="shared" si="2"/>
        <v>#N/A</v>
      </c>
    </row>
    <row r="282">
      <c r="C282" s="6" t="str">
        <f t="shared" si="1"/>
        <v/>
      </c>
      <c r="J282" s="7" t="str">
        <f>IFERROR(__xludf.DUMMYFUNCTION("IF($C282 = """", """", IFNA(
  ROWS(
    FILTER(
      Events!$G$2:$G1000,
      Events!$B$2:$B1000 &gt;= TODAY() - 90,
      REGEXMATCH(
        "","" &amp; SUBSTITUTE(Events!$G$2:$G1000, "" "", """") &amp; "","",
        "","" &amp; SUBSTITUTE($C282, "" "", """") &amp; """&amp;",""
      )
    )
  ),
0)
)"),"")</f>
        <v/>
      </c>
      <c r="K282" s="7" t="str">
        <f t="shared" si="2"/>
        <v>#N/A</v>
      </c>
    </row>
    <row r="283">
      <c r="C283" s="6" t="str">
        <f t="shared" si="1"/>
        <v/>
      </c>
      <c r="J283" s="7" t="str">
        <f>IFERROR(__xludf.DUMMYFUNCTION("IF($C283 = """", """", IFNA(
  ROWS(
    FILTER(
      Events!$G$2:$G1000,
      Events!$B$2:$B1000 &gt;= TODAY() - 90,
      REGEXMATCH(
        "","" &amp; SUBSTITUTE(Events!$G$2:$G1000, "" "", """") &amp; "","",
        "","" &amp; SUBSTITUTE($C283, "" "", """") &amp; """&amp;",""
      )
    )
  ),
0)
)"),"")</f>
        <v/>
      </c>
      <c r="K283" s="7" t="str">
        <f t="shared" si="2"/>
        <v>#N/A</v>
      </c>
    </row>
    <row r="284">
      <c r="C284" s="6" t="str">
        <f t="shared" si="1"/>
        <v/>
      </c>
      <c r="J284" s="7" t="str">
        <f>IFERROR(__xludf.DUMMYFUNCTION("IF($C284 = """", """", IFNA(
  ROWS(
    FILTER(
      Events!$G$2:$G1000,
      Events!$B$2:$B1000 &gt;= TODAY() - 90,
      REGEXMATCH(
        "","" &amp; SUBSTITUTE(Events!$G$2:$G1000, "" "", """") &amp; "","",
        "","" &amp; SUBSTITUTE($C284, "" "", """") &amp; """&amp;",""
      )
    )
  ),
0)
)"),"")</f>
        <v/>
      </c>
      <c r="K284" s="7" t="str">
        <f t="shared" si="2"/>
        <v>#N/A</v>
      </c>
    </row>
    <row r="285">
      <c r="C285" s="6" t="str">
        <f t="shared" si="1"/>
        <v/>
      </c>
      <c r="J285" s="7" t="str">
        <f>IFERROR(__xludf.DUMMYFUNCTION("IF($C285 = """", """", IFNA(
  ROWS(
    FILTER(
      Events!$G$2:$G1000,
      Events!$B$2:$B1000 &gt;= TODAY() - 90,
      REGEXMATCH(
        "","" &amp; SUBSTITUTE(Events!$G$2:$G1000, "" "", """") &amp; "","",
        "","" &amp; SUBSTITUTE($C285, "" "", """") &amp; """&amp;",""
      )
    )
  ),
0)
)"),"")</f>
        <v/>
      </c>
      <c r="K285" s="7" t="str">
        <f t="shared" si="2"/>
        <v>#N/A</v>
      </c>
    </row>
    <row r="286">
      <c r="C286" s="6" t="str">
        <f t="shared" si="1"/>
        <v/>
      </c>
      <c r="J286" s="7" t="str">
        <f>IFERROR(__xludf.DUMMYFUNCTION("IF($C286 = """", """", IFNA(
  ROWS(
    FILTER(
      Events!$G$2:$G1000,
      Events!$B$2:$B1000 &gt;= TODAY() - 90,
      REGEXMATCH(
        "","" &amp; SUBSTITUTE(Events!$G$2:$G1000, "" "", """") &amp; "","",
        "","" &amp; SUBSTITUTE($C286, "" "", """") &amp; """&amp;",""
      )
    )
  ),
0)
)"),"")</f>
        <v/>
      </c>
      <c r="K286" s="7" t="str">
        <f t="shared" si="2"/>
        <v>#N/A</v>
      </c>
    </row>
    <row r="287">
      <c r="C287" s="6" t="str">
        <f t="shared" si="1"/>
        <v/>
      </c>
      <c r="J287" s="7" t="str">
        <f>IFERROR(__xludf.DUMMYFUNCTION("IF($C287 = """", """", IFNA(
  ROWS(
    FILTER(
      Events!$G$2:$G1000,
      Events!$B$2:$B1000 &gt;= TODAY() - 90,
      REGEXMATCH(
        "","" &amp; SUBSTITUTE(Events!$G$2:$G1000, "" "", """") &amp; "","",
        "","" &amp; SUBSTITUTE($C287, "" "", """") &amp; """&amp;",""
      )
    )
  ),
0)
)"),"")</f>
        <v/>
      </c>
      <c r="K287" s="7" t="str">
        <f t="shared" si="2"/>
        <v>#N/A</v>
      </c>
    </row>
    <row r="288">
      <c r="C288" s="6" t="str">
        <f t="shared" si="1"/>
        <v/>
      </c>
      <c r="J288" s="7" t="str">
        <f>IFERROR(__xludf.DUMMYFUNCTION("IF($C288 = """", """", IFNA(
  ROWS(
    FILTER(
      Events!$G$2:$G1000,
      Events!$B$2:$B1000 &gt;= TODAY() - 90,
      REGEXMATCH(
        "","" &amp; SUBSTITUTE(Events!$G$2:$G1000, "" "", """") &amp; "","",
        "","" &amp; SUBSTITUTE($C288, "" "", """") &amp; """&amp;",""
      )
    )
  ),
0)
)"),"")</f>
        <v/>
      </c>
      <c r="K288" s="7" t="str">
        <f t="shared" si="2"/>
        <v>#N/A</v>
      </c>
    </row>
    <row r="289">
      <c r="C289" s="6" t="str">
        <f t="shared" si="1"/>
        <v/>
      </c>
      <c r="J289" s="7" t="str">
        <f>IFERROR(__xludf.DUMMYFUNCTION("IF($C289 = """", """", IFNA(
  ROWS(
    FILTER(
      Events!$G$2:$G1000,
      Events!$B$2:$B1000 &gt;= TODAY() - 90,
      REGEXMATCH(
        "","" &amp; SUBSTITUTE(Events!$G$2:$G1000, "" "", """") &amp; "","",
        "","" &amp; SUBSTITUTE($C289, "" "", """") &amp; """&amp;",""
      )
    )
  ),
0)
)"),"")</f>
        <v/>
      </c>
      <c r="K289" s="7" t="str">
        <f t="shared" si="2"/>
        <v>#N/A</v>
      </c>
    </row>
    <row r="290">
      <c r="C290" s="6" t="str">
        <f t="shared" si="1"/>
        <v/>
      </c>
      <c r="J290" s="7" t="str">
        <f>IFERROR(__xludf.DUMMYFUNCTION("IF($C290 = """", """", IFNA(
  ROWS(
    FILTER(
      Events!$G$2:$G1000,
      Events!$B$2:$B1000 &gt;= TODAY() - 90,
      REGEXMATCH(
        "","" &amp; SUBSTITUTE(Events!$G$2:$G1000, "" "", """") &amp; "","",
        "","" &amp; SUBSTITUTE($C290, "" "", """") &amp; """&amp;",""
      )
    )
  ),
0)
)"),"")</f>
        <v/>
      </c>
      <c r="K290" s="7" t="str">
        <f t="shared" si="2"/>
        <v>#N/A</v>
      </c>
    </row>
    <row r="291">
      <c r="C291" s="6" t="str">
        <f t="shared" si="1"/>
        <v/>
      </c>
      <c r="J291" s="7" t="str">
        <f>IFERROR(__xludf.DUMMYFUNCTION("IF($C291 = """", """", IFNA(
  ROWS(
    FILTER(
      Events!$G$2:$G1000,
      Events!$B$2:$B1000 &gt;= TODAY() - 90,
      REGEXMATCH(
        "","" &amp; SUBSTITUTE(Events!$G$2:$G1000, "" "", """") &amp; "","",
        "","" &amp; SUBSTITUTE($C291, "" "", """") &amp; """&amp;",""
      )
    )
  ),
0)
)"),"")</f>
        <v/>
      </c>
      <c r="K291" s="7" t="str">
        <f t="shared" si="2"/>
        <v>#N/A</v>
      </c>
    </row>
    <row r="292">
      <c r="C292" s="6" t="str">
        <f t="shared" si="1"/>
        <v/>
      </c>
      <c r="J292" s="7" t="str">
        <f>IFERROR(__xludf.DUMMYFUNCTION("IF($C292 = """", """", IFNA(
  ROWS(
    FILTER(
      Events!$G$2:$G1000,
      Events!$B$2:$B1000 &gt;= TODAY() - 90,
      REGEXMATCH(
        "","" &amp; SUBSTITUTE(Events!$G$2:$G1000, "" "", """") &amp; "","",
        "","" &amp; SUBSTITUTE($C292, "" "", """") &amp; """&amp;",""
      )
    )
  ),
0)
)"),"")</f>
        <v/>
      </c>
      <c r="K292" s="7" t="str">
        <f t="shared" si="2"/>
        <v>#N/A</v>
      </c>
    </row>
    <row r="293">
      <c r="C293" s="6" t="str">
        <f t="shared" si="1"/>
        <v/>
      </c>
      <c r="J293" s="7" t="str">
        <f>IFERROR(__xludf.DUMMYFUNCTION("IF($C293 = """", """", IFNA(
  ROWS(
    FILTER(
      Events!$G$2:$G1000,
      Events!$B$2:$B1000 &gt;= TODAY() - 90,
      REGEXMATCH(
        "","" &amp; SUBSTITUTE(Events!$G$2:$G1000, "" "", """") &amp; "","",
        "","" &amp; SUBSTITUTE($C293, "" "", """") &amp; """&amp;",""
      )
    )
  ),
0)
)"),"")</f>
        <v/>
      </c>
      <c r="K293" s="7" t="str">
        <f t="shared" si="2"/>
        <v>#N/A</v>
      </c>
    </row>
    <row r="294">
      <c r="C294" s="6" t="str">
        <f t="shared" si="1"/>
        <v/>
      </c>
      <c r="J294" s="7" t="str">
        <f>IFERROR(__xludf.DUMMYFUNCTION("IF($C294 = """", """", IFNA(
  ROWS(
    FILTER(
      Events!$G$2:$G1000,
      Events!$B$2:$B1000 &gt;= TODAY() - 90,
      REGEXMATCH(
        "","" &amp; SUBSTITUTE(Events!$G$2:$G1000, "" "", """") &amp; "","",
        "","" &amp; SUBSTITUTE($C294, "" "", """") &amp; """&amp;",""
      )
    )
  ),
0)
)"),"")</f>
        <v/>
      </c>
      <c r="K294" s="7" t="str">
        <f t="shared" si="2"/>
        <v>#N/A</v>
      </c>
    </row>
    <row r="295">
      <c r="C295" s="6" t="str">
        <f t="shared" si="1"/>
        <v/>
      </c>
      <c r="J295" s="7" t="str">
        <f>IFERROR(__xludf.DUMMYFUNCTION("IF($C295 = """", """", IFNA(
  ROWS(
    FILTER(
      Events!$G$2:$G1000,
      Events!$B$2:$B1000 &gt;= TODAY() - 90,
      REGEXMATCH(
        "","" &amp; SUBSTITUTE(Events!$G$2:$G1000, "" "", """") &amp; "","",
        "","" &amp; SUBSTITUTE($C295, "" "", """") &amp; """&amp;",""
      )
    )
  ),
0)
)"),"")</f>
        <v/>
      </c>
      <c r="K295" s="7" t="str">
        <f t="shared" si="2"/>
        <v>#N/A</v>
      </c>
    </row>
    <row r="296">
      <c r="C296" s="6" t="str">
        <f t="shared" si="1"/>
        <v/>
      </c>
      <c r="J296" s="7" t="str">
        <f>IFERROR(__xludf.DUMMYFUNCTION("IF($C296 = """", """", IFNA(
  ROWS(
    FILTER(
      Events!$G$2:$G1000,
      Events!$B$2:$B1000 &gt;= TODAY() - 90,
      REGEXMATCH(
        "","" &amp; SUBSTITUTE(Events!$G$2:$G1000, "" "", """") &amp; "","",
        "","" &amp; SUBSTITUTE($C296, "" "", """") &amp; """&amp;",""
      )
    )
  ),
0)
)"),"")</f>
        <v/>
      </c>
      <c r="K296" s="7" t="str">
        <f t="shared" si="2"/>
        <v>#N/A</v>
      </c>
    </row>
    <row r="297">
      <c r="C297" s="6" t="str">
        <f t="shared" si="1"/>
        <v/>
      </c>
      <c r="J297" s="7" t="str">
        <f>IFERROR(__xludf.DUMMYFUNCTION("IF($C297 = """", """", IFNA(
  ROWS(
    FILTER(
      Events!$G$2:$G1000,
      Events!$B$2:$B1000 &gt;= TODAY() - 90,
      REGEXMATCH(
        "","" &amp; SUBSTITUTE(Events!$G$2:$G1000, "" "", """") &amp; "","",
        "","" &amp; SUBSTITUTE($C297, "" "", """") &amp; """&amp;",""
      )
    )
  ),
0)
)"),"")</f>
        <v/>
      </c>
      <c r="K297" s="7" t="str">
        <f t="shared" si="2"/>
        <v>#N/A</v>
      </c>
    </row>
    <row r="298">
      <c r="C298" s="6" t="str">
        <f t="shared" si="1"/>
        <v/>
      </c>
      <c r="J298" s="7" t="str">
        <f>IFERROR(__xludf.DUMMYFUNCTION("IF($C298 = """", """", IFNA(
  ROWS(
    FILTER(
      Events!$G$2:$G1000,
      Events!$B$2:$B1000 &gt;= TODAY() - 90,
      REGEXMATCH(
        "","" &amp; SUBSTITUTE(Events!$G$2:$G1000, "" "", """") &amp; "","",
        "","" &amp; SUBSTITUTE($C298, "" "", """") &amp; """&amp;",""
      )
    )
  ),
0)
)"),"")</f>
        <v/>
      </c>
      <c r="K298" s="7" t="str">
        <f t="shared" si="2"/>
        <v>#N/A</v>
      </c>
    </row>
    <row r="299">
      <c r="C299" s="6" t="str">
        <f t="shared" si="1"/>
        <v/>
      </c>
      <c r="J299" s="7" t="str">
        <f>IFERROR(__xludf.DUMMYFUNCTION("IF($C299 = """", """", IFNA(
  ROWS(
    FILTER(
      Events!$G$2:$G1000,
      Events!$B$2:$B1000 &gt;= TODAY() - 90,
      REGEXMATCH(
        "","" &amp; SUBSTITUTE(Events!$G$2:$G1000, "" "", """") &amp; "","",
        "","" &amp; SUBSTITUTE($C299, "" "", """") &amp; """&amp;",""
      )
    )
  ),
0)
)"),"")</f>
        <v/>
      </c>
      <c r="K299" s="7" t="str">
        <f t="shared" si="2"/>
        <v>#N/A</v>
      </c>
    </row>
    <row r="300">
      <c r="C300" s="6" t="str">
        <f t="shared" si="1"/>
        <v/>
      </c>
      <c r="J300" s="7" t="str">
        <f>IFERROR(__xludf.DUMMYFUNCTION("IF($C300 = """", """", IFNA(
  ROWS(
    FILTER(
      Events!$G$2:$G1000,
      Events!$B$2:$B1000 &gt;= TODAY() - 90,
      REGEXMATCH(
        "","" &amp; SUBSTITUTE(Events!$G$2:$G1000, "" "", """") &amp; "","",
        "","" &amp; SUBSTITUTE($C300, "" "", """") &amp; """&amp;",""
      )
    )
  ),
0)
)"),"")</f>
        <v/>
      </c>
      <c r="K300" s="7" t="str">
        <f t="shared" si="2"/>
        <v>#N/A</v>
      </c>
    </row>
    <row r="301">
      <c r="C301" s="6" t="str">
        <f t="shared" si="1"/>
        <v/>
      </c>
      <c r="J301" s="7" t="str">
        <f>IFERROR(__xludf.DUMMYFUNCTION("IF($C301 = """", """", IFNA(
  ROWS(
    FILTER(
      Events!$G$2:$G1000,
      Events!$B$2:$B1000 &gt;= TODAY() - 90,
      REGEXMATCH(
        "","" &amp; SUBSTITUTE(Events!$G$2:$G1000, "" "", """") &amp; "","",
        "","" &amp; SUBSTITUTE($C301, "" "", """") &amp; """&amp;",""
      )
    )
  ),
0)
)"),"")</f>
        <v/>
      </c>
      <c r="K301" s="7" t="str">
        <f t="shared" si="2"/>
        <v>#N/A</v>
      </c>
    </row>
    <row r="302">
      <c r="C302" s="6" t="str">
        <f t="shared" si="1"/>
        <v/>
      </c>
      <c r="J302" s="7" t="str">
        <f>IFERROR(__xludf.DUMMYFUNCTION("IF($C302 = """", """", IFNA(
  ROWS(
    FILTER(
      Events!$G$2:$G1000,
      Events!$B$2:$B1000 &gt;= TODAY() - 90,
      REGEXMATCH(
        "","" &amp; SUBSTITUTE(Events!$G$2:$G1000, "" "", """") &amp; "","",
        "","" &amp; SUBSTITUTE($C302, "" "", """") &amp; """&amp;",""
      )
    )
  ),
0)
)"),"")</f>
        <v/>
      </c>
      <c r="K302" s="7" t="str">
        <f t="shared" si="2"/>
        <v>#N/A</v>
      </c>
    </row>
    <row r="303">
      <c r="C303" s="6" t="str">
        <f t="shared" si="1"/>
        <v/>
      </c>
      <c r="J303" s="7" t="str">
        <f>IFERROR(__xludf.DUMMYFUNCTION("IF($C303 = """", """", IFNA(
  ROWS(
    FILTER(
      Events!$G$2:$G1000,
      Events!$B$2:$B1000 &gt;= TODAY() - 90,
      REGEXMATCH(
        "","" &amp; SUBSTITUTE(Events!$G$2:$G1000, "" "", """") &amp; "","",
        "","" &amp; SUBSTITUTE($C303, "" "", """") &amp; """&amp;",""
      )
    )
  ),
0)
)"),"")</f>
        <v/>
      </c>
      <c r="K303" s="7" t="str">
        <f t="shared" si="2"/>
        <v>#N/A</v>
      </c>
    </row>
    <row r="304">
      <c r="C304" s="6" t="str">
        <f t="shared" si="1"/>
        <v/>
      </c>
      <c r="J304" s="7" t="str">
        <f>IFERROR(__xludf.DUMMYFUNCTION("IF($C304 = """", """", IFNA(
  ROWS(
    FILTER(
      Events!$G$2:$G1000,
      Events!$B$2:$B1000 &gt;= TODAY() - 90,
      REGEXMATCH(
        "","" &amp; SUBSTITUTE(Events!$G$2:$G1000, "" "", """") &amp; "","",
        "","" &amp; SUBSTITUTE($C304, "" "", """") &amp; """&amp;",""
      )
    )
  ),
0)
)"),"")</f>
        <v/>
      </c>
      <c r="K304" s="7" t="str">
        <f t="shared" si="2"/>
        <v>#N/A</v>
      </c>
    </row>
    <row r="305">
      <c r="C305" s="6" t="str">
        <f t="shared" si="1"/>
        <v/>
      </c>
      <c r="J305" s="7" t="str">
        <f>IFERROR(__xludf.DUMMYFUNCTION("IF($C305 = """", """", IFNA(
  ROWS(
    FILTER(
      Events!$G$2:$G1000,
      Events!$B$2:$B1000 &gt;= TODAY() - 90,
      REGEXMATCH(
        "","" &amp; SUBSTITUTE(Events!$G$2:$G1000, "" "", """") &amp; "","",
        "","" &amp; SUBSTITUTE($C305, "" "", """") &amp; """&amp;",""
      )
    )
  ),
0)
)"),"")</f>
        <v/>
      </c>
      <c r="K305" s="7" t="str">
        <f t="shared" si="2"/>
        <v>#N/A</v>
      </c>
    </row>
    <row r="306">
      <c r="C306" s="6" t="str">
        <f t="shared" si="1"/>
        <v/>
      </c>
      <c r="J306" s="7" t="str">
        <f>IFERROR(__xludf.DUMMYFUNCTION("IF($C306 = """", """", IFNA(
  ROWS(
    FILTER(
      Events!$G$2:$G1000,
      Events!$B$2:$B1000 &gt;= TODAY() - 90,
      REGEXMATCH(
        "","" &amp; SUBSTITUTE(Events!$G$2:$G1000, "" "", """") &amp; "","",
        "","" &amp; SUBSTITUTE($C306, "" "", """") &amp; """&amp;",""
      )
    )
  ),
0)
)"),"")</f>
        <v/>
      </c>
      <c r="K306" s="7" t="str">
        <f t="shared" si="2"/>
        <v>#N/A</v>
      </c>
    </row>
    <row r="307">
      <c r="C307" s="6" t="str">
        <f t="shared" si="1"/>
        <v/>
      </c>
      <c r="J307" s="7" t="str">
        <f>IFERROR(__xludf.DUMMYFUNCTION("IF($C307 = """", """", IFNA(
  ROWS(
    FILTER(
      Events!$G$2:$G1000,
      Events!$B$2:$B1000 &gt;= TODAY() - 90,
      REGEXMATCH(
        "","" &amp; SUBSTITUTE(Events!$G$2:$G1000, "" "", """") &amp; "","",
        "","" &amp; SUBSTITUTE($C307, "" "", """") &amp; """&amp;",""
      )
    )
  ),
0)
)"),"")</f>
        <v/>
      </c>
      <c r="K307" s="7" t="str">
        <f t="shared" si="2"/>
        <v>#N/A</v>
      </c>
    </row>
    <row r="308">
      <c r="C308" s="6" t="str">
        <f t="shared" si="1"/>
        <v/>
      </c>
      <c r="J308" s="7" t="str">
        <f>IFERROR(__xludf.DUMMYFUNCTION("IF($C308 = """", """", IFNA(
  ROWS(
    FILTER(
      Events!$G$2:$G1000,
      Events!$B$2:$B1000 &gt;= TODAY() - 90,
      REGEXMATCH(
        "","" &amp; SUBSTITUTE(Events!$G$2:$G1000, "" "", """") &amp; "","",
        "","" &amp; SUBSTITUTE($C308, "" "", """") &amp; """&amp;",""
      )
    )
  ),
0)
)"),"")</f>
        <v/>
      </c>
      <c r="K308" s="7" t="str">
        <f t="shared" si="2"/>
        <v>#N/A</v>
      </c>
    </row>
    <row r="309">
      <c r="C309" s="6" t="str">
        <f t="shared" si="1"/>
        <v/>
      </c>
      <c r="J309" s="7" t="str">
        <f>IFERROR(__xludf.DUMMYFUNCTION("IF($C309 = """", """", IFNA(
  ROWS(
    FILTER(
      Events!$G$2:$G1000,
      Events!$B$2:$B1000 &gt;= TODAY() - 90,
      REGEXMATCH(
        "","" &amp; SUBSTITUTE(Events!$G$2:$G1000, "" "", """") &amp; "","",
        "","" &amp; SUBSTITUTE($C309, "" "", """") &amp; """&amp;",""
      )
    )
  ),
0)
)"),"")</f>
        <v/>
      </c>
      <c r="K309" s="7" t="str">
        <f t="shared" si="2"/>
        <v>#N/A</v>
      </c>
    </row>
    <row r="310">
      <c r="C310" s="6" t="str">
        <f t="shared" si="1"/>
        <v/>
      </c>
      <c r="J310" s="7" t="str">
        <f>IFERROR(__xludf.DUMMYFUNCTION("IF($C310 = """", """", IFNA(
  ROWS(
    FILTER(
      Events!$G$2:$G1000,
      Events!$B$2:$B1000 &gt;= TODAY() - 90,
      REGEXMATCH(
        "","" &amp; SUBSTITUTE(Events!$G$2:$G1000, "" "", """") &amp; "","",
        "","" &amp; SUBSTITUTE($C310, "" "", """") &amp; """&amp;",""
      )
    )
  ),
0)
)"),"")</f>
        <v/>
      </c>
      <c r="K310" s="7" t="str">
        <f t="shared" si="2"/>
        <v>#N/A</v>
      </c>
    </row>
    <row r="311">
      <c r="C311" s="6" t="str">
        <f t="shared" si="1"/>
        <v/>
      </c>
      <c r="J311" s="7" t="str">
        <f>IFERROR(__xludf.DUMMYFUNCTION("IF($C311 = """", """", IFNA(
  ROWS(
    FILTER(
      Events!$G$2:$G1000,
      Events!$B$2:$B1000 &gt;= TODAY() - 90,
      REGEXMATCH(
        "","" &amp; SUBSTITUTE(Events!$G$2:$G1000, "" "", """") &amp; "","",
        "","" &amp; SUBSTITUTE($C311, "" "", """") &amp; """&amp;",""
      )
    )
  ),
0)
)"),"")</f>
        <v/>
      </c>
      <c r="K311" s="7" t="str">
        <f t="shared" si="2"/>
        <v>#N/A</v>
      </c>
    </row>
    <row r="312">
      <c r="C312" s="6" t="str">
        <f t="shared" si="1"/>
        <v/>
      </c>
      <c r="J312" s="7" t="str">
        <f>IFERROR(__xludf.DUMMYFUNCTION("IF($C312 = """", """", IFNA(
  ROWS(
    FILTER(
      Events!$G$2:$G1000,
      Events!$B$2:$B1000 &gt;= TODAY() - 90,
      REGEXMATCH(
        "","" &amp; SUBSTITUTE(Events!$G$2:$G1000, "" "", """") &amp; "","",
        "","" &amp; SUBSTITUTE($C312, "" "", """") &amp; """&amp;",""
      )
    )
  ),
0)
)"),"")</f>
        <v/>
      </c>
      <c r="K312" s="7" t="str">
        <f t="shared" si="2"/>
        <v>#N/A</v>
      </c>
    </row>
    <row r="313">
      <c r="C313" s="6" t="str">
        <f t="shared" si="1"/>
        <v/>
      </c>
      <c r="J313" s="7" t="str">
        <f>IFERROR(__xludf.DUMMYFUNCTION("IF($C313 = """", """", IFNA(
  ROWS(
    FILTER(
      Events!$G$2:$G1000,
      Events!$B$2:$B1000 &gt;= TODAY() - 90,
      REGEXMATCH(
        "","" &amp; SUBSTITUTE(Events!$G$2:$G1000, "" "", """") &amp; "","",
        "","" &amp; SUBSTITUTE($C313, "" "", """") &amp; """&amp;",""
      )
    )
  ),
0)
)"),"")</f>
        <v/>
      </c>
      <c r="K313" s="7" t="str">
        <f t="shared" si="2"/>
        <v>#N/A</v>
      </c>
    </row>
    <row r="314">
      <c r="C314" s="6" t="str">
        <f t="shared" si="1"/>
        <v/>
      </c>
      <c r="J314" s="7" t="str">
        <f>IFERROR(__xludf.DUMMYFUNCTION("IF($C314 = """", """", IFNA(
  ROWS(
    FILTER(
      Events!$G$2:$G1000,
      Events!$B$2:$B1000 &gt;= TODAY() - 90,
      REGEXMATCH(
        "","" &amp; SUBSTITUTE(Events!$G$2:$G1000, "" "", """") &amp; "","",
        "","" &amp; SUBSTITUTE($C314, "" "", """") &amp; """&amp;",""
      )
    )
  ),
0)
)"),"")</f>
        <v/>
      </c>
      <c r="K314" s="7" t="str">
        <f t="shared" si="2"/>
        <v>#N/A</v>
      </c>
    </row>
    <row r="315">
      <c r="C315" s="6" t="str">
        <f t="shared" si="1"/>
        <v/>
      </c>
      <c r="J315" s="7" t="str">
        <f>IFERROR(__xludf.DUMMYFUNCTION("IF($C315 = """", """", IFNA(
  ROWS(
    FILTER(
      Events!$G$2:$G1000,
      Events!$B$2:$B1000 &gt;= TODAY() - 90,
      REGEXMATCH(
        "","" &amp; SUBSTITUTE(Events!$G$2:$G1000, "" "", """") &amp; "","",
        "","" &amp; SUBSTITUTE($C315, "" "", """") &amp; """&amp;",""
      )
    )
  ),
0)
)"),"")</f>
        <v/>
      </c>
      <c r="K315" s="7" t="str">
        <f t="shared" si="2"/>
        <v>#N/A</v>
      </c>
    </row>
    <row r="316">
      <c r="C316" s="6" t="str">
        <f t="shared" si="1"/>
        <v/>
      </c>
      <c r="J316" s="7" t="str">
        <f>IFERROR(__xludf.DUMMYFUNCTION("IF($C316 = """", """", IFNA(
  ROWS(
    FILTER(
      Events!$G$2:$G1000,
      Events!$B$2:$B1000 &gt;= TODAY() - 90,
      REGEXMATCH(
        "","" &amp; SUBSTITUTE(Events!$G$2:$G1000, "" "", """") &amp; "","",
        "","" &amp; SUBSTITUTE($C316, "" "", """") &amp; """&amp;",""
      )
    )
  ),
0)
)"),"")</f>
        <v/>
      </c>
      <c r="K316" s="7" t="str">
        <f t="shared" si="2"/>
        <v>#N/A</v>
      </c>
    </row>
    <row r="317">
      <c r="C317" s="6" t="str">
        <f t="shared" si="1"/>
        <v/>
      </c>
      <c r="J317" s="7" t="str">
        <f>IFERROR(__xludf.DUMMYFUNCTION("IF($C317 = """", """", IFNA(
  ROWS(
    FILTER(
      Events!$G$2:$G1000,
      Events!$B$2:$B1000 &gt;= TODAY() - 90,
      REGEXMATCH(
        "","" &amp; SUBSTITUTE(Events!$G$2:$G1000, "" "", """") &amp; "","",
        "","" &amp; SUBSTITUTE($C317, "" "", """") &amp; """&amp;",""
      )
    )
  ),
0)
)"),"")</f>
        <v/>
      </c>
      <c r="K317" s="7" t="str">
        <f t="shared" si="2"/>
        <v>#N/A</v>
      </c>
    </row>
    <row r="318">
      <c r="C318" s="6" t="str">
        <f t="shared" si="1"/>
        <v/>
      </c>
      <c r="J318" s="7" t="str">
        <f>IFERROR(__xludf.DUMMYFUNCTION("IF($C318 = """", """", IFNA(
  ROWS(
    FILTER(
      Events!$G$2:$G1000,
      Events!$B$2:$B1000 &gt;= TODAY() - 90,
      REGEXMATCH(
        "","" &amp; SUBSTITUTE(Events!$G$2:$G1000, "" "", """") &amp; "","",
        "","" &amp; SUBSTITUTE($C318, "" "", """") &amp; """&amp;",""
      )
    )
  ),
0)
)"),"")</f>
        <v/>
      </c>
      <c r="K318" s="7" t="str">
        <f t="shared" si="2"/>
        <v>#N/A</v>
      </c>
    </row>
    <row r="319">
      <c r="C319" s="6" t="str">
        <f t="shared" si="1"/>
        <v/>
      </c>
      <c r="J319" s="7" t="str">
        <f>IFERROR(__xludf.DUMMYFUNCTION("IF($C319 = """", """", IFNA(
  ROWS(
    FILTER(
      Events!$G$2:$G1000,
      Events!$B$2:$B1000 &gt;= TODAY() - 90,
      REGEXMATCH(
        "","" &amp; SUBSTITUTE(Events!$G$2:$G1000, "" "", """") &amp; "","",
        "","" &amp; SUBSTITUTE($C319, "" "", """") &amp; """&amp;",""
      )
    )
  ),
0)
)"),"")</f>
        <v/>
      </c>
      <c r="K319" s="7" t="str">
        <f t="shared" si="2"/>
        <v>#N/A</v>
      </c>
    </row>
    <row r="320">
      <c r="C320" s="6" t="str">
        <f t="shared" si="1"/>
        <v/>
      </c>
      <c r="J320" s="7" t="str">
        <f>IFERROR(__xludf.DUMMYFUNCTION("IF($C320 = """", """", IFNA(
  ROWS(
    FILTER(
      Events!$G$2:$G1000,
      Events!$B$2:$B1000 &gt;= TODAY() - 90,
      REGEXMATCH(
        "","" &amp; SUBSTITUTE(Events!$G$2:$G1000, "" "", """") &amp; "","",
        "","" &amp; SUBSTITUTE($C320, "" "", """") &amp; """&amp;",""
      )
    )
  ),
0)
)"),"")</f>
        <v/>
      </c>
      <c r="K320" s="7" t="str">
        <f t="shared" si="2"/>
        <v>#N/A</v>
      </c>
    </row>
    <row r="321">
      <c r="C321" s="6" t="str">
        <f t="shared" si="1"/>
        <v/>
      </c>
      <c r="J321" s="7" t="str">
        <f>IFERROR(__xludf.DUMMYFUNCTION("IF($C321 = """", """", IFNA(
  ROWS(
    FILTER(
      Events!$G$2:$G1000,
      Events!$B$2:$B1000 &gt;= TODAY() - 90,
      REGEXMATCH(
        "","" &amp; SUBSTITUTE(Events!$G$2:$G1000, "" "", """") &amp; "","",
        "","" &amp; SUBSTITUTE($C321, "" "", """") &amp; """&amp;",""
      )
    )
  ),
0)
)"),"")</f>
        <v/>
      </c>
      <c r="K321" s="7" t="str">
        <f t="shared" si="2"/>
        <v>#N/A</v>
      </c>
    </row>
    <row r="322">
      <c r="C322" s="6" t="str">
        <f t="shared" si="1"/>
        <v/>
      </c>
      <c r="J322" s="7" t="str">
        <f>IFERROR(__xludf.DUMMYFUNCTION("IF($C322 = """", """", IFNA(
  ROWS(
    FILTER(
      Events!$G$2:$G1000,
      Events!$B$2:$B1000 &gt;= TODAY() - 90,
      REGEXMATCH(
        "","" &amp; SUBSTITUTE(Events!$G$2:$G1000, "" "", """") &amp; "","",
        "","" &amp; SUBSTITUTE($C322, "" "", """") &amp; """&amp;",""
      )
    )
  ),
0)
)"),"")</f>
        <v/>
      </c>
      <c r="K322" s="7" t="str">
        <f t="shared" si="2"/>
        <v>#N/A</v>
      </c>
    </row>
    <row r="323">
      <c r="C323" s="6" t="str">
        <f t="shared" si="1"/>
        <v/>
      </c>
      <c r="J323" s="7" t="str">
        <f>IFERROR(__xludf.DUMMYFUNCTION("IF($C323 = """", """", IFNA(
  ROWS(
    FILTER(
      Events!$G$2:$G1000,
      Events!$B$2:$B1000 &gt;= TODAY() - 90,
      REGEXMATCH(
        "","" &amp; SUBSTITUTE(Events!$G$2:$G1000, "" "", """") &amp; "","",
        "","" &amp; SUBSTITUTE($C323, "" "", """") &amp; """&amp;",""
      )
    )
  ),
0)
)"),"")</f>
        <v/>
      </c>
      <c r="K323" s="7" t="str">
        <f t="shared" si="2"/>
        <v>#N/A</v>
      </c>
    </row>
    <row r="324">
      <c r="C324" s="6" t="str">
        <f t="shared" si="1"/>
        <v/>
      </c>
      <c r="J324" s="7" t="str">
        <f>IFERROR(__xludf.DUMMYFUNCTION("IF($C324 = """", """", IFNA(
  ROWS(
    FILTER(
      Events!$G$2:$G1000,
      Events!$B$2:$B1000 &gt;= TODAY() - 90,
      REGEXMATCH(
        "","" &amp; SUBSTITUTE(Events!$G$2:$G1000, "" "", """") &amp; "","",
        "","" &amp; SUBSTITUTE($C324, "" "", """") &amp; """&amp;",""
      )
    )
  ),
0)
)"),"")</f>
        <v/>
      </c>
      <c r="K324" s="7" t="str">
        <f t="shared" si="2"/>
        <v>#N/A</v>
      </c>
    </row>
    <row r="325">
      <c r="C325" s="6" t="str">
        <f t="shared" si="1"/>
        <v/>
      </c>
      <c r="J325" s="7" t="str">
        <f>IFERROR(__xludf.DUMMYFUNCTION("IF($C325 = """", """", IFNA(
  ROWS(
    FILTER(
      Events!$G$2:$G1000,
      Events!$B$2:$B1000 &gt;= TODAY() - 90,
      REGEXMATCH(
        "","" &amp; SUBSTITUTE(Events!$G$2:$G1000, "" "", """") &amp; "","",
        "","" &amp; SUBSTITUTE($C325, "" "", """") &amp; """&amp;",""
      )
    )
  ),
0)
)"),"")</f>
        <v/>
      </c>
      <c r="K325" s="7" t="str">
        <f t="shared" si="2"/>
        <v>#N/A</v>
      </c>
    </row>
    <row r="326">
      <c r="C326" s="6" t="str">
        <f t="shared" si="1"/>
        <v/>
      </c>
      <c r="J326" s="7" t="str">
        <f>IFERROR(__xludf.DUMMYFUNCTION("IF($C326 = """", """", IFNA(
  ROWS(
    FILTER(
      Events!$G$2:$G1000,
      Events!$B$2:$B1000 &gt;= TODAY() - 90,
      REGEXMATCH(
        "","" &amp; SUBSTITUTE(Events!$G$2:$G1000, "" "", """") &amp; "","",
        "","" &amp; SUBSTITUTE($C326, "" "", """") &amp; """&amp;",""
      )
    )
  ),
0)
)"),"")</f>
        <v/>
      </c>
      <c r="K326" s="7" t="str">
        <f t="shared" si="2"/>
        <v>#N/A</v>
      </c>
    </row>
    <row r="327">
      <c r="C327" s="6" t="str">
        <f t="shared" si="1"/>
        <v/>
      </c>
      <c r="J327" s="7" t="str">
        <f>IFERROR(__xludf.DUMMYFUNCTION("IF($C327 = """", """", IFNA(
  ROWS(
    FILTER(
      Events!$G$2:$G1000,
      Events!$B$2:$B1000 &gt;= TODAY() - 90,
      REGEXMATCH(
        "","" &amp; SUBSTITUTE(Events!$G$2:$G1000, "" "", """") &amp; "","",
        "","" &amp; SUBSTITUTE($C327, "" "", """") &amp; """&amp;",""
      )
    )
  ),
0)
)"),"")</f>
        <v/>
      </c>
      <c r="K327" s="7" t="str">
        <f t="shared" si="2"/>
        <v>#N/A</v>
      </c>
    </row>
    <row r="328">
      <c r="C328" s="6" t="str">
        <f t="shared" si="1"/>
        <v/>
      </c>
      <c r="J328" s="7" t="str">
        <f>IFERROR(__xludf.DUMMYFUNCTION("IF($C328 = """", """", IFNA(
  ROWS(
    FILTER(
      Events!$G$2:$G1000,
      Events!$B$2:$B1000 &gt;= TODAY() - 90,
      REGEXMATCH(
        "","" &amp; SUBSTITUTE(Events!$G$2:$G1000, "" "", """") &amp; "","",
        "","" &amp; SUBSTITUTE($C328, "" "", """") &amp; """&amp;",""
      )
    )
  ),
0)
)"),"")</f>
        <v/>
      </c>
      <c r="K328" s="7" t="str">
        <f t="shared" si="2"/>
        <v>#N/A</v>
      </c>
    </row>
    <row r="329">
      <c r="C329" s="6" t="str">
        <f t="shared" si="1"/>
        <v/>
      </c>
      <c r="J329" s="7" t="str">
        <f>IFERROR(__xludf.DUMMYFUNCTION("IF($C329 = """", """", IFNA(
  ROWS(
    FILTER(
      Events!$G$2:$G1000,
      Events!$B$2:$B1000 &gt;= TODAY() - 90,
      REGEXMATCH(
        "","" &amp; SUBSTITUTE(Events!$G$2:$G1000, "" "", """") &amp; "","",
        "","" &amp; SUBSTITUTE($C329, "" "", """") &amp; """&amp;",""
      )
    )
  ),
0)
)"),"")</f>
        <v/>
      </c>
      <c r="K329" s="7" t="str">
        <f t="shared" si="2"/>
        <v>#N/A</v>
      </c>
    </row>
    <row r="330">
      <c r="C330" s="6" t="str">
        <f t="shared" si="1"/>
        <v/>
      </c>
      <c r="J330" s="7" t="str">
        <f>IFERROR(__xludf.DUMMYFUNCTION("IF($C330 = """", """", IFNA(
  ROWS(
    FILTER(
      Events!$G$2:$G1000,
      Events!$B$2:$B1000 &gt;= TODAY() - 90,
      REGEXMATCH(
        "","" &amp; SUBSTITUTE(Events!$G$2:$G1000, "" "", """") &amp; "","",
        "","" &amp; SUBSTITUTE($C330, "" "", """") &amp; """&amp;",""
      )
    )
  ),
0)
)"),"")</f>
        <v/>
      </c>
      <c r="K330" s="7" t="str">
        <f t="shared" si="2"/>
        <v>#N/A</v>
      </c>
    </row>
    <row r="331">
      <c r="C331" s="6" t="str">
        <f t="shared" si="1"/>
        <v/>
      </c>
      <c r="J331" s="7" t="str">
        <f>IFERROR(__xludf.DUMMYFUNCTION("IF($C331 = """", """", IFNA(
  ROWS(
    FILTER(
      Events!$G$2:$G1000,
      Events!$B$2:$B1000 &gt;= TODAY() - 90,
      REGEXMATCH(
        "","" &amp; SUBSTITUTE(Events!$G$2:$G1000, "" "", """") &amp; "","",
        "","" &amp; SUBSTITUTE($C331, "" "", """") &amp; """&amp;",""
      )
    )
  ),
0)
)"),"")</f>
        <v/>
      </c>
      <c r="K331" s="7" t="str">
        <f t="shared" si="2"/>
        <v>#N/A</v>
      </c>
    </row>
    <row r="332">
      <c r="C332" s="6" t="str">
        <f t="shared" si="1"/>
        <v/>
      </c>
      <c r="J332" s="7" t="str">
        <f>IFERROR(__xludf.DUMMYFUNCTION("IF($C332 = """", """", IFNA(
  ROWS(
    FILTER(
      Events!$G$2:$G1000,
      Events!$B$2:$B1000 &gt;= TODAY() - 90,
      REGEXMATCH(
        "","" &amp; SUBSTITUTE(Events!$G$2:$G1000, "" "", """") &amp; "","",
        "","" &amp; SUBSTITUTE($C332, "" "", """") &amp; """&amp;",""
      )
    )
  ),
0)
)"),"")</f>
        <v/>
      </c>
      <c r="K332" s="7" t="str">
        <f t="shared" si="2"/>
        <v>#N/A</v>
      </c>
    </row>
    <row r="333">
      <c r="C333" s="6" t="str">
        <f t="shared" si="1"/>
        <v/>
      </c>
      <c r="J333" s="7" t="str">
        <f>IFERROR(__xludf.DUMMYFUNCTION("IF($C333 = """", """", IFNA(
  ROWS(
    FILTER(
      Events!$G$2:$G1000,
      Events!$B$2:$B1000 &gt;= TODAY() - 90,
      REGEXMATCH(
        "","" &amp; SUBSTITUTE(Events!$G$2:$G1000, "" "", """") &amp; "","",
        "","" &amp; SUBSTITUTE($C333, "" "", """") &amp; """&amp;",""
      )
    )
  ),
0)
)"),"")</f>
        <v/>
      </c>
      <c r="K333" s="7" t="str">
        <f t="shared" si="2"/>
        <v>#N/A</v>
      </c>
    </row>
    <row r="334">
      <c r="C334" s="6" t="str">
        <f t="shared" si="1"/>
        <v/>
      </c>
      <c r="J334" s="7" t="str">
        <f>IFERROR(__xludf.DUMMYFUNCTION("IF($C334 = """", """", IFNA(
  ROWS(
    FILTER(
      Events!$G$2:$G1000,
      Events!$B$2:$B1000 &gt;= TODAY() - 90,
      REGEXMATCH(
        "","" &amp; SUBSTITUTE(Events!$G$2:$G1000, "" "", """") &amp; "","",
        "","" &amp; SUBSTITUTE($C334, "" "", """") &amp; """&amp;",""
      )
    )
  ),
0)
)"),"")</f>
        <v/>
      </c>
      <c r="K334" s="7" t="str">
        <f t="shared" si="2"/>
        <v>#N/A</v>
      </c>
    </row>
    <row r="335">
      <c r="C335" s="6" t="str">
        <f t="shared" si="1"/>
        <v/>
      </c>
      <c r="J335" s="7" t="str">
        <f>IFERROR(__xludf.DUMMYFUNCTION("IF($C335 = """", """", IFNA(
  ROWS(
    FILTER(
      Events!$G$2:$G1000,
      Events!$B$2:$B1000 &gt;= TODAY() - 90,
      REGEXMATCH(
        "","" &amp; SUBSTITUTE(Events!$G$2:$G1000, "" "", """") &amp; "","",
        "","" &amp; SUBSTITUTE($C335, "" "", """") &amp; """&amp;",""
      )
    )
  ),
0)
)"),"")</f>
        <v/>
      </c>
      <c r="K335" s="7" t="str">
        <f t="shared" si="2"/>
        <v>#N/A</v>
      </c>
    </row>
    <row r="336">
      <c r="C336" s="6" t="str">
        <f t="shared" si="1"/>
        <v/>
      </c>
      <c r="J336" s="7" t="str">
        <f>IFERROR(__xludf.DUMMYFUNCTION("IF($C336 = """", """", IFNA(
  ROWS(
    FILTER(
      Events!$G$2:$G1000,
      Events!$B$2:$B1000 &gt;= TODAY() - 90,
      REGEXMATCH(
        "","" &amp; SUBSTITUTE(Events!$G$2:$G1000, "" "", """") &amp; "","",
        "","" &amp; SUBSTITUTE($C336, "" "", """") &amp; """&amp;",""
      )
    )
  ),
0)
)"),"")</f>
        <v/>
      </c>
      <c r="K336" s="7" t="str">
        <f t="shared" si="2"/>
        <v>#N/A</v>
      </c>
    </row>
    <row r="337">
      <c r="C337" s="6" t="str">
        <f t="shared" si="1"/>
        <v/>
      </c>
      <c r="J337" s="7" t="str">
        <f>IFERROR(__xludf.DUMMYFUNCTION("IF($C337 = """", """", IFNA(
  ROWS(
    FILTER(
      Events!$G$2:$G1000,
      Events!$B$2:$B1000 &gt;= TODAY() - 90,
      REGEXMATCH(
        "","" &amp; SUBSTITUTE(Events!$G$2:$G1000, "" "", """") &amp; "","",
        "","" &amp; SUBSTITUTE($C337, "" "", """") &amp; """&amp;",""
      )
    )
  ),
0)
)"),"")</f>
        <v/>
      </c>
      <c r="K337" s="7" t="str">
        <f t="shared" si="2"/>
        <v>#N/A</v>
      </c>
    </row>
    <row r="338">
      <c r="C338" s="6" t="str">
        <f t="shared" si="1"/>
        <v/>
      </c>
      <c r="J338" s="7" t="str">
        <f>IFERROR(__xludf.DUMMYFUNCTION("IF($C338 = """", """", IFNA(
  ROWS(
    FILTER(
      Events!$G$2:$G1000,
      Events!$B$2:$B1000 &gt;= TODAY() - 90,
      REGEXMATCH(
        "","" &amp; SUBSTITUTE(Events!$G$2:$G1000, "" "", """") &amp; "","",
        "","" &amp; SUBSTITUTE($C338, "" "", """") &amp; """&amp;",""
      )
    )
  ),
0)
)"),"")</f>
        <v/>
      </c>
      <c r="K338" s="7" t="str">
        <f t="shared" si="2"/>
        <v>#N/A</v>
      </c>
    </row>
    <row r="339">
      <c r="C339" s="6" t="str">
        <f t="shared" si="1"/>
        <v/>
      </c>
      <c r="J339" s="7" t="str">
        <f>IFERROR(__xludf.DUMMYFUNCTION("IF($C339 = """", """", IFNA(
  ROWS(
    FILTER(
      Events!$G$2:$G1000,
      Events!$B$2:$B1000 &gt;= TODAY() - 90,
      REGEXMATCH(
        "","" &amp; SUBSTITUTE(Events!$G$2:$G1000, "" "", """") &amp; "","",
        "","" &amp; SUBSTITUTE($C339, "" "", """") &amp; """&amp;",""
      )
    )
  ),
0)
)"),"")</f>
        <v/>
      </c>
      <c r="K339" s="7" t="str">
        <f t="shared" si="2"/>
        <v>#N/A</v>
      </c>
    </row>
    <row r="340">
      <c r="C340" s="6" t="str">
        <f t="shared" si="1"/>
        <v/>
      </c>
      <c r="J340" s="7" t="str">
        <f>IFERROR(__xludf.DUMMYFUNCTION("IF($C340 = """", """", IFNA(
  ROWS(
    FILTER(
      Events!$G$2:$G1000,
      Events!$B$2:$B1000 &gt;= TODAY() - 90,
      REGEXMATCH(
        "","" &amp; SUBSTITUTE(Events!$G$2:$G1000, "" "", """") &amp; "","",
        "","" &amp; SUBSTITUTE($C340, "" "", """") &amp; """&amp;",""
      )
    )
  ),
0)
)"),"")</f>
        <v/>
      </c>
      <c r="K340" s="7" t="str">
        <f t="shared" si="2"/>
        <v>#N/A</v>
      </c>
    </row>
    <row r="341">
      <c r="C341" s="6" t="str">
        <f t="shared" si="1"/>
        <v/>
      </c>
      <c r="J341" s="7" t="str">
        <f>IFERROR(__xludf.DUMMYFUNCTION("IF($C341 = """", """", IFNA(
  ROWS(
    FILTER(
      Events!$G$2:$G1000,
      Events!$B$2:$B1000 &gt;= TODAY() - 90,
      REGEXMATCH(
        "","" &amp; SUBSTITUTE(Events!$G$2:$G1000, "" "", """") &amp; "","",
        "","" &amp; SUBSTITUTE($C341, "" "", """") &amp; """&amp;",""
      )
    )
  ),
0)
)"),"")</f>
        <v/>
      </c>
      <c r="K341" s="7" t="str">
        <f t="shared" si="2"/>
        <v>#N/A</v>
      </c>
    </row>
    <row r="342">
      <c r="C342" s="6" t="str">
        <f t="shared" si="1"/>
        <v/>
      </c>
      <c r="J342" s="7" t="str">
        <f>IFERROR(__xludf.DUMMYFUNCTION("IF($C342 = """", """", IFNA(
  ROWS(
    FILTER(
      Events!$G$2:$G1000,
      Events!$B$2:$B1000 &gt;= TODAY() - 90,
      REGEXMATCH(
        "","" &amp; SUBSTITUTE(Events!$G$2:$G1000, "" "", """") &amp; "","",
        "","" &amp; SUBSTITUTE($C342, "" "", """") &amp; """&amp;",""
      )
    )
  ),
0)
)"),"")</f>
        <v/>
      </c>
      <c r="K342" s="7" t="str">
        <f t="shared" si="2"/>
        <v>#N/A</v>
      </c>
    </row>
    <row r="343">
      <c r="C343" s="6" t="str">
        <f t="shared" si="1"/>
        <v/>
      </c>
      <c r="J343" s="7" t="str">
        <f>IFERROR(__xludf.DUMMYFUNCTION("IF($C343 = """", """", IFNA(
  ROWS(
    FILTER(
      Events!$G$2:$G1000,
      Events!$B$2:$B1000 &gt;= TODAY() - 90,
      REGEXMATCH(
        "","" &amp; SUBSTITUTE(Events!$G$2:$G1000, "" "", """") &amp; "","",
        "","" &amp; SUBSTITUTE($C343, "" "", """") &amp; """&amp;",""
      )
    )
  ),
0)
)"),"")</f>
        <v/>
      </c>
      <c r="K343" s="7" t="str">
        <f t="shared" si="2"/>
        <v>#N/A</v>
      </c>
    </row>
    <row r="344">
      <c r="C344" s="6" t="str">
        <f t="shared" si="1"/>
        <v/>
      </c>
      <c r="J344" s="7" t="str">
        <f>IFERROR(__xludf.DUMMYFUNCTION("IF($C344 = """", """", IFNA(
  ROWS(
    FILTER(
      Events!$G$2:$G1000,
      Events!$B$2:$B1000 &gt;= TODAY() - 90,
      REGEXMATCH(
        "","" &amp; SUBSTITUTE(Events!$G$2:$G1000, "" "", """") &amp; "","",
        "","" &amp; SUBSTITUTE($C344, "" "", """") &amp; """&amp;",""
      )
    )
  ),
0)
)"),"")</f>
        <v/>
      </c>
      <c r="K344" s="7" t="str">
        <f t="shared" si="2"/>
        <v>#N/A</v>
      </c>
    </row>
    <row r="345">
      <c r="C345" s="6" t="str">
        <f t="shared" si="1"/>
        <v/>
      </c>
      <c r="J345" s="7" t="str">
        <f>IFERROR(__xludf.DUMMYFUNCTION("IF($C345 = """", """", IFNA(
  ROWS(
    FILTER(
      Events!$G$2:$G1000,
      Events!$B$2:$B1000 &gt;= TODAY() - 90,
      REGEXMATCH(
        "","" &amp; SUBSTITUTE(Events!$G$2:$G1000, "" "", """") &amp; "","",
        "","" &amp; SUBSTITUTE($C345, "" "", """") &amp; """&amp;",""
      )
    )
  ),
0)
)"),"")</f>
        <v/>
      </c>
      <c r="K345" s="7" t="str">
        <f t="shared" si="2"/>
        <v>#N/A</v>
      </c>
    </row>
    <row r="346">
      <c r="C346" s="6" t="str">
        <f t="shared" si="1"/>
        <v/>
      </c>
      <c r="J346" s="7" t="str">
        <f>IFERROR(__xludf.DUMMYFUNCTION("IF($C346 = """", """", IFNA(
  ROWS(
    FILTER(
      Events!$G$2:$G1000,
      Events!$B$2:$B1000 &gt;= TODAY() - 90,
      REGEXMATCH(
        "","" &amp; SUBSTITUTE(Events!$G$2:$G1000, "" "", """") &amp; "","",
        "","" &amp; SUBSTITUTE($C346, "" "", """") &amp; """&amp;",""
      )
    )
  ),
0)
)"),"")</f>
        <v/>
      </c>
      <c r="K346" s="7" t="str">
        <f t="shared" si="2"/>
        <v>#N/A</v>
      </c>
    </row>
    <row r="347">
      <c r="C347" s="6" t="str">
        <f t="shared" si="1"/>
        <v/>
      </c>
      <c r="J347" s="7" t="str">
        <f>IFERROR(__xludf.DUMMYFUNCTION("IF($C347 = """", """", IFNA(
  ROWS(
    FILTER(
      Events!$G$2:$G1000,
      Events!$B$2:$B1000 &gt;= TODAY() - 90,
      REGEXMATCH(
        "","" &amp; SUBSTITUTE(Events!$G$2:$G1000, "" "", """") &amp; "","",
        "","" &amp; SUBSTITUTE($C347, "" "", """") &amp; """&amp;",""
      )
    )
  ),
0)
)"),"")</f>
        <v/>
      </c>
      <c r="K347" s="7" t="str">
        <f t="shared" si="2"/>
        <v>#N/A</v>
      </c>
    </row>
    <row r="348">
      <c r="C348" s="6" t="str">
        <f t="shared" si="1"/>
        <v/>
      </c>
      <c r="J348" s="7" t="str">
        <f>IFERROR(__xludf.DUMMYFUNCTION("IF($C348 = """", """", IFNA(
  ROWS(
    FILTER(
      Events!$G$2:$G1000,
      Events!$B$2:$B1000 &gt;= TODAY() - 90,
      REGEXMATCH(
        "","" &amp; SUBSTITUTE(Events!$G$2:$G1000, "" "", """") &amp; "","",
        "","" &amp; SUBSTITUTE($C348, "" "", """") &amp; """&amp;",""
      )
    )
  ),
0)
)"),"")</f>
        <v/>
      </c>
      <c r="K348" s="7" t="str">
        <f t="shared" si="2"/>
        <v>#N/A</v>
      </c>
    </row>
    <row r="349">
      <c r="C349" s="6" t="str">
        <f t="shared" si="1"/>
        <v/>
      </c>
      <c r="J349" s="7" t="str">
        <f>IFERROR(__xludf.DUMMYFUNCTION("IF($C349 = """", """", IFNA(
  ROWS(
    FILTER(
      Events!$G$2:$G1000,
      Events!$B$2:$B1000 &gt;= TODAY() - 90,
      REGEXMATCH(
        "","" &amp; SUBSTITUTE(Events!$G$2:$G1000, "" "", """") &amp; "","",
        "","" &amp; SUBSTITUTE($C349, "" "", """") &amp; """&amp;",""
      )
    )
  ),
0)
)"),"")</f>
        <v/>
      </c>
      <c r="K349" s="7" t="str">
        <f t="shared" si="2"/>
        <v>#N/A</v>
      </c>
    </row>
    <row r="350">
      <c r="C350" s="6" t="str">
        <f t="shared" si="1"/>
        <v/>
      </c>
      <c r="J350" s="7" t="str">
        <f>IFERROR(__xludf.DUMMYFUNCTION("IF($C350 = """", """", IFNA(
  ROWS(
    FILTER(
      Events!$G$2:$G1000,
      Events!$B$2:$B1000 &gt;= TODAY() - 90,
      REGEXMATCH(
        "","" &amp; SUBSTITUTE(Events!$G$2:$G1000, "" "", """") &amp; "","",
        "","" &amp; SUBSTITUTE($C350, "" "", """") &amp; """&amp;",""
      )
    )
  ),
0)
)"),"")</f>
        <v/>
      </c>
      <c r="K350" s="7" t="str">
        <f t="shared" si="2"/>
        <v>#N/A</v>
      </c>
    </row>
    <row r="351">
      <c r="C351" s="6" t="str">
        <f t="shared" si="1"/>
        <v/>
      </c>
      <c r="J351" s="7" t="str">
        <f>IFERROR(__xludf.DUMMYFUNCTION("IF($C351 = """", """", IFNA(
  ROWS(
    FILTER(
      Events!$G$2:$G1000,
      Events!$B$2:$B1000 &gt;= TODAY() - 90,
      REGEXMATCH(
        "","" &amp; SUBSTITUTE(Events!$G$2:$G1000, "" "", """") &amp; "","",
        "","" &amp; SUBSTITUTE($C351, "" "", """") &amp; """&amp;",""
      )
    )
  ),
0)
)"),"")</f>
        <v/>
      </c>
      <c r="K351" s="7" t="str">
        <f t="shared" si="2"/>
        <v>#N/A</v>
      </c>
    </row>
    <row r="352">
      <c r="C352" s="6" t="str">
        <f t="shared" si="1"/>
        <v/>
      </c>
      <c r="J352" s="7" t="str">
        <f>IFERROR(__xludf.DUMMYFUNCTION("IF($C352 = """", """", IFNA(
  ROWS(
    FILTER(
      Events!$G$2:$G1000,
      Events!$B$2:$B1000 &gt;= TODAY() - 90,
      REGEXMATCH(
        "","" &amp; SUBSTITUTE(Events!$G$2:$G1000, "" "", """") &amp; "","",
        "","" &amp; SUBSTITUTE($C352, "" "", """") &amp; """&amp;",""
      )
    )
  ),
0)
)"),"")</f>
        <v/>
      </c>
      <c r="K352" s="7" t="str">
        <f t="shared" si="2"/>
        <v>#N/A</v>
      </c>
    </row>
    <row r="353">
      <c r="C353" s="6" t="str">
        <f t="shared" si="1"/>
        <v/>
      </c>
      <c r="J353" s="7" t="str">
        <f>IFERROR(__xludf.DUMMYFUNCTION("IF($C353 = """", """", IFNA(
  ROWS(
    FILTER(
      Events!$G$2:$G1000,
      Events!$B$2:$B1000 &gt;= TODAY() - 90,
      REGEXMATCH(
        "","" &amp; SUBSTITUTE(Events!$G$2:$G1000, "" "", """") &amp; "","",
        "","" &amp; SUBSTITUTE($C353, "" "", """") &amp; """&amp;",""
      )
    )
  ),
0)
)"),"")</f>
        <v/>
      </c>
      <c r="K353" s="7" t="str">
        <f t="shared" si="2"/>
        <v>#N/A</v>
      </c>
    </row>
    <row r="354">
      <c r="C354" s="6" t="str">
        <f t="shared" si="1"/>
        <v/>
      </c>
      <c r="J354" s="7" t="str">
        <f>IFERROR(__xludf.DUMMYFUNCTION("IF($C354 = """", """", IFNA(
  ROWS(
    FILTER(
      Events!$G$2:$G1000,
      Events!$B$2:$B1000 &gt;= TODAY() - 90,
      REGEXMATCH(
        "","" &amp; SUBSTITUTE(Events!$G$2:$G1000, "" "", """") &amp; "","",
        "","" &amp; SUBSTITUTE($C354, "" "", """") &amp; """&amp;",""
      )
    )
  ),
0)
)"),"")</f>
        <v/>
      </c>
      <c r="K354" s="7" t="str">
        <f t="shared" si="2"/>
        <v>#N/A</v>
      </c>
    </row>
    <row r="355">
      <c r="C355" s="6" t="str">
        <f t="shared" si="1"/>
        <v/>
      </c>
      <c r="J355" s="7" t="str">
        <f>IFERROR(__xludf.DUMMYFUNCTION("IF($C355 = """", """", IFNA(
  ROWS(
    FILTER(
      Events!$G$2:$G1000,
      Events!$B$2:$B1000 &gt;= TODAY() - 90,
      REGEXMATCH(
        "","" &amp; SUBSTITUTE(Events!$G$2:$G1000, "" "", """") &amp; "","",
        "","" &amp; SUBSTITUTE($C355, "" "", """") &amp; """&amp;",""
      )
    )
  ),
0)
)"),"")</f>
        <v/>
      </c>
      <c r="K355" s="7" t="str">
        <f t="shared" si="2"/>
        <v>#N/A</v>
      </c>
    </row>
    <row r="356">
      <c r="C356" s="6" t="str">
        <f t="shared" si="1"/>
        <v/>
      </c>
      <c r="J356" s="7" t="str">
        <f>IFERROR(__xludf.DUMMYFUNCTION("IF($C356 = """", """", IFNA(
  ROWS(
    FILTER(
      Events!$G$2:$G1000,
      Events!$B$2:$B1000 &gt;= TODAY() - 90,
      REGEXMATCH(
        "","" &amp; SUBSTITUTE(Events!$G$2:$G1000, "" "", """") &amp; "","",
        "","" &amp; SUBSTITUTE($C356, "" "", """") &amp; """&amp;",""
      )
    )
  ),
0)
)"),"")</f>
        <v/>
      </c>
      <c r="K356" s="7" t="str">
        <f t="shared" si="2"/>
        <v>#N/A</v>
      </c>
    </row>
    <row r="357">
      <c r="C357" s="6" t="str">
        <f t="shared" si="1"/>
        <v/>
      </c>
      <c r="J357" s="7" t="str">
        <f>IFERROR(__xludf.DUMMYFUNCTION("IF($C357 = """", """", IFNA(
  ROWS(
    FILTER(
      Events!$G$2:$G1000,
      Events!$B$2:$B1000 &gt;= TODAY() - 90,
      REGEXMATCH(
        "","" &amp; SUBSTITUTE(Events!$G$2:$G1000, "" "", """") &amp; "","",
        "","" &amp; SUBSTITUTE($C357, "" "", """") &amp; """&amp;",""
      )
    )
  ),
0)
)"),"")</f>
        <v/>
      </c>
      <c r="K357" s="7" t="str">
        <f t="shared" si="2"/>
        <v>#N/A</v>
      </c>
    </row>
    <row r="358">
      <c r="C358" s="6" t="str">
        <f t="shared" si="1"/>
        <v/>
      </c>
      <c r="J358" s="7" t="str">
        <f>IFERROR(__xludf.DUMMYFUNCTION("IF($C358 = """", """", IFNA(
  ROWS(
    FILTER(
      Events!$G$2:$G1000,
      Events!$B$2:$B1000 &gt;= TODAY() - 90,
      REGEXMATCH(
        "","" &amp; SUBSTITUTE(Events!$G$2:$G1000, "" "", """") &amp; "","",
        "","" &amp; SUBSTITUTE($C358, "" "", """") &amp; """&amp;",""
      )
    )
  ),
0)
)"),"")</f>
        <v/>
      </c>
      <c r="K358" s="7" t="str">
        <f t="shared" si="2"/>
        <v>#N/A</v>
      </c>
    </row>
    <row r="359">
      <c r="C359" s="6" t="str">
        <f t="shared" si="1"/>
        <v/>
      </c>
      <c r="J359" s="7" t="str">
        <f>IFERROR(__xludf.DUMMYFUNCTION("IF($C359 = """", """", IFNA(
  ROWS(
    FILTER(
      Events!$G$2:$G1000,
      Events!$B$2:$B1000 &gt;= TODAY() - 90,
      REGEXMATCH(
        "","" &amp; SUBSTITUTE(Events!$G$2:$G1000, "" "", """") &amp; "","",
        "","" &amp; SUBSTITUTE($C359, "" "", """") &amp; """&amp;",""
      )
    )
  ),
0)
)"),"")</f>
        <v/>
      </c>
      <c r="K359" s="7" t="str">
        <f t="shared" si="2"/>
        <v>#N/A</v>
      </c>
    </row>
    <row r="360">
      <c r="C360" s="6" t="str">
        <f t="shared" si="1"/>
        <v/>
      </c>
      <c r="J360" s="7" t="str">
        <f>IFERROR(__xludf.DUMMYFUNCTION("IF($C360 = """", """", IFNA(
  ROWS(
    FILTER(
      Events!$G$2:$G1000,
      Events!$B$2:$B1000 &gt;= TODAY() - 90,
      REGEXMATCH(
        "","" &amp; SUBSTITUTE(Events!$G$2:$G1000, "" "", """") &amp; "","",
        "","" &amp; SUBSTITUTE($C360, "" "", """") &amp; """&amp;",""
      )
    )
  ),
0)
)"),"")</f>
        <v/>
      </c>
      <c r="K360" s="7" t="str">
        <f t="shared" si="2"/>
        <v>#N/A</v>
      </c>
    </row>
    <row r="361">
      <c r="C361" s="6" t="str">
        <f t="shared" si="1"/>
        <v/>
      </c>
      <c r="J361" s="7" t="str">
        <f>IFERROR(__xludf.DUMMYFUNCTION("IF($C361 = """", """", IFNA(
  ROWS(
    FILTER(
      Events!$G$2:$G1000,
      Events!$B$2:$B1000 &gt;= TODAY() - 90,
      REGEXMATCH(
        "","" &amp; SUBSTITUTE(Events!$G$2:$G1000, "" "", """") &amp; "","",
        "","" &amp; SUBSTITUTE($C361, "" "", """") &amp; """&amp;",""
      )
    )
  ),
0)
)"),"")</f>
        <v/>
      </c>
      <c r="K361" s="7" t="str">
        <f t="shared" si="2"/>
        <v>#N/A</v>
      </c>
    </row>
    <row r="362">
      <c r="C362" s="6" t="str">
        <f t="shared" si="1"/>
        <v/>
      </c>
      <c r="J362" s="7" t="str">
        <f>IFERROR(__xludf.DUMMYFUNCTION("IF($C362 = """", """", IFNA(
  ROWS(
    FILTER(
      Events!$G$2:$G1000,
      Events!$B$2:$B1000 &gt;= TODAY() - 90,
      REGEXMATCH(
        "","" &amp; SUBSTITUTE(Events!$G$2:$G1000, "" "", """") &amp; "","",
        "","" &amp; SUBSTITUTE($C362, "" "", """") &amp; """&amp;",""
      )
    )
  ),
0)
)"),"")</f>
        <v/>
      </c>
      <c r="K362" s="7" t="str">
        <f t="shared" si="2"/>
        <v>#N/A</v>
      </c>
    </row>
    <row r="363">
      <c r="C363" s="6" t="str">
        <f t="shared" si="1"/>
        <v/>
      </c>
      <c r="J363" s="7" t="str">
        <f>IFERROR(__xludf.DUMMYFUNCTION("IF($C363 = """", """", IFNA(
  ROWS(
    FILTER(
      Events!$G$2:$G1000,
      Events!$B$2:$B1000 &gt;= TODAY() - 90,
      REGEXMATCH(
        "","" &amp; SUBSTITUTE(Events!$G$2:$G1000, "" "", """") &amp; "","",
        "","" &amp; SUBSTITUTE($C363, "" "", """") &amp; """&amp;",""
      )
    )
  ),
0)
)"),"")</f>
        <v/>
      </c>
      <c r="K363" s="7" t="str">
        <f t="shared" si="2"/>
        <v>#N/A</v>
      </c>
    </row>
    <row r="364">
      <c r="C364" s="6" t="str">
        <f t="shared" si="1"/>
        <v/>
      </c>
      <c r="J364" s="7" t="str">
        <f>IFERROR(__xludf.DUMMYFUNCTION("IF($C364 = """", """", IFNA(
  ROWS(
    FILTER(
      Events!$G$2:$G1000,
      Events!$B$2:$B1000 &gt;= TODAY() - 90,
      REGEXMATCH(
        "","" &amp; SUBSTITUTE(Events!$G$2:$G1000, "" "", """") &amp; "","",
        "","" &amp; SUBSTITUTE($C364, "" "", """") &amp; """&amp;",""
      )
    )
  ),
0)
)"),"")</f>
        <v/>
      </c>
      <c r="K364" s="7" t="str">
        <f t="shared" si="2"/>
        <v>#N/A</v>
      </c>
    </row>
    <row r="365">
      <c r="C365" s="6" t="str">
        <f t="shared" si="1"/>
        <v/>
      </c>
      <c r="J365" s="7" t="str">
        <f>IFERROR(__xludf.DUMMYFUNCTION("IF($C365 = """", """", IFNA(
  ROWS(
    FILTER(
      Events!$G$2:$G1000,
      Events!$B$2:$B1000 &gt;= TODAY() - 90,
      REGEXMATCH(
        "","" &amp; SUBSTITUTE(Events!$G$2:$G1000, "" "", """") &amp; "","",
        "","" &amp; SUBSTITUTE($C365, "" "", """") &amp; """&amp;",""
      )
    )
  ),
0)
)"),"")</f>
        <v/>
      </c>
      <c r="K365" s="7" t="str">
        <f t="shared" si="2"/>
        <v>#N/A</v>
      </c>
    </row>
    <row r="366">
      <c r="C366" s="6" t="str">
        <f t="shared" si="1"/>
        <v/>
      </c>
      <c r="J366" s="7" t="str">
        <f>IFERROR(__xludf.DUMMYFUNCTION("IF($C366 = """", """", IFNA(
  ROWS(
    FILTER(
      Events!$G$2:$G1000,
      Events!$B$2:$B1000 &gt;= TODAY() - 90,
      REGEXMATCH(
        "","" &amp; SUBSTITUTE(Events!$G$2:$G1000, "" "", """") &amp; "","",
        "","" &amp; SUBSTITUTE($C366, "" "", """") &amp; """&amp;",""
      )
    )
  ),
0)
)"),"")</f>
        <v/>
      </c>
      <c r="K366" s="7" t="str">
        <f t="shared" si="2"/>
        <v>#N/A</v>
      </c>
    </row>
    <row r="367">
      <c r="C367" s="6" t="str">
        <f t="shared" si="1"/>
        <v/>
      </c>
      <c r="J367" s="7" t="str">
        <f>IFERROR(__xludf.DUMMYFUNCTION("IF($C367 = """", """", IFNA(
  ROWS(
    FILTER(
      Events!$G$2:$G1000,
      Events!$B$2:$B1000 &gt;= TODAY() - 90,
      REGEXMATCH(
        "","" &amp; SUBSTITUTE(Events!$G$2:$G1000, "" "", """") &amp; "","",
        "","" &amp; SUBSTITUTE($C367, "" "", """") &amp; """&amp;",""
      )
    )
  ),
0)
)"),"")</f>
        <v/>
      </c>
      <c r="K367" s="7" t="str">
        <f t="shared" si="2"/>
        <v>#N/A</v>
      </c>
    </row>
    <row r="368">
      <c r="C368" s="6" t="str">
        <f t="shared" si="1"/>
        <v/>
      </c>
      <c r="J368" s="7" t="str">
        <f>IFERROR(__xludf.DUMMYFUNCTION("IF($C368 = """", """", IFNA(
  ROWS(
    FILTER(
      Events!$G$2:$G1000,
      Events!$B$2:$B1000 &gt;= TODAY() - 90,
      REGEXMATCH(
        "","" &amp; SUBSTITUTE(Events!$G$2:$G1000, "" "", """") &amp; "","",
        "","" &amp; SUBSTITUTE($C368, "" "", """") &amp; """&amp;",""
      )
    )
  ),
0)
)"),"")</f>
        <v/>
      </c>
      <c r="K368" s="7" t="str">
        <f t="shared" si="2"/>
        <v>#N/A</v>
      </c>
    </row>
    <row r="369">
      <c r="C369" s="6" t="str">
        <f t="shared" si="1"/>
        <v/>
      </c>
      <c r="J369" s="7" t="str">
        <f>IFERROR(__xludf.DUMMYFUNCTION("IF($C369 = """", """", IFNA(
  ROWS(
    FILTER(
      Events!$G$2:$G1000,
      Events!$B$2:$B1000 &gt;= TODAY() - 90,
      REGEXMATCH(
        "","" &amp; SUBSTITUTE(Events!$G$2:$G1000, "" "", """") &amp; "","",
        "","" &amp; SUBSTITUTE($C369, "" "", """") &amp; """&amp;",""
      )
    )
  ),
0)
)"),"")</f>
        <v/>
      </c>
      <c r="K369" s="7" t="str">
        <f t="shared" si="2"/>
        <v>#N/A</v>
      </c>
    </row>
    <row r="370">
      <c r="C370" s="6" t="str">
        <f t="shared" si="1"/>
        <v/>
      </c>
      <c r="J370" s="7" t="str">
        <f>IFERROR(__xludf.DUMMYFUNCTION("IF($C370 = """", """", IFNA(
  ROWS(
    FILTER(
      Events!$G$2:$G1000,
      Events!$B$2:$B1000 &gt;= TODAY() - 90,
      REGEXMATCH(
        "","" &amp; SUBSTITUTE(Events!$G$2:$G1000, "" "", """") &amp; "","",
        "","" &amp; SUBSTITUTE($C370, "" "", """") &amp; """&amp;",""
      )
    )
  ),
0)
)"),"")</f>
        <v/>
      </c>
      <c r="K370" s="7" t="str">
        <f t="shared" si="2"/>
        <v>#N/A</v>
      </c>
    </row>
    <row r="371">
      <c r="C371" s="6" t="str">
        <f t="shared" si="1"/>
        <v/>
      </c>
      <c r="J371" s="7" t="str">
        <f>IFERROR(__xludf.DUMMYFUNCTION("IF($C371 = """", """", IFNA(
  ROWS(
    FILTER(
      Events!$G$2:$G1000,
      Events!$B$2:$B1000 &gt;= TODAY() - 90,
      REGEXMATCH(
        "","" &amp; SUBSTITUTE(Events!$G$2:$G1000, "" "", """") &amp; "","",
        "","" &amp; SUBSTITUTE($C371, "" "", """") &amp; """&amp;",""
      )
    )
  ),
0)
)"),"")</f>
        <v/>
      </c>
      <c r="K371" s="7" t="str">
        <f t="shared" si="2"/>
        <v>#N/A</v>
      </c>
    </row>
    <row r="372">
      <c r="C372" s="6" t="str">
        <f t="shared" si="1"/>
        <v/>
      </c>
      <c r="J372" s="7" t="str">
        <f>IFERROR(__xludf.DUMMYFUNCTION("IF($C372 = """", """", IFNA(
  ROWS(
    FILTER(
      Events!$G$2:$G1000,
      Events!$B$2:$B1000 &gt;= TODAY() - 90,
      REGEXMATCH(
        "","" &amp; SUBSTITUTE(Events!$G$2:$G1000, "" "", """") &amp; "","",
        "","" &amp; SUBSTITUTE($C372, "" "", """") &amp; """&amp;",""
      )
    )
  ),
0)
)"),"")</f>
        <v/>
      </c>
      <c r="K372" s="7" t="str">
        <f t="shared" si="2"/>
        <v>#N/A</v>
      </c>
    </row>
    <row r="373">
      <c r="C373" s="6" t="str">
        <f t="shared" si="1"/>
        <v/>
      </c>
      <c r="J373" s="7" t="str">
        <f>IFERROR(__xludf.DUMMYFUNCTION("IF($C373 = """", """", IFNA(
  ROWS(
    FILTER(
      Events!$G$2:$G1000,
      Events!$B$2:$B1000 &gt;= TODAY() - 90,
      REGEXMATCH(
        "","" &amp; SUBSTITUTE(Events!$G$2:$G1000, "" "", """") &amp; "","",
        "","" &amp; SUBSTITUTE($C373, "" "", """") &amp; """&amp;",""
      )
    )
  ),
0)
)"),"")</f>
        <v/>
      </c>
      <c r="K373" s="7" t="str">
        <f t="shared" si="2"/>
        <v>#N/A</v>
      </c>
    </row>
    <row r="374">
      <c r="C374" s="6" t="str">
        <f t="shared" si="1"/>
        <v/>
      </c>
      <c r="J374" s="7" t="str">
        <f>IFERROR(__xludf.DUMMYFUNCTION("IF($C374 = """", """", IFNA(
  ROWS(
    FILTER(
      Events!$G$2:$G1000,
      Events!$B$2:$B1000 &gt;= TODAY() - 90,
      REGEXMATCH(
        "","" &amp; SUBSTITUTE(Events!$G$2:$G1000, "" "", """") &amp; "","",
        "","" &amp; SUBSTITUTE($C374, "" "", """") &amp; """&amp;",""
      )
    )
  ),
0)
)"),"")</f>
        <v/>
      </c>
      <c r="K374" s="7" t="str">
        <f t="shared" si="2"/>
        <v>#N/A</v>
      </c>
    </row>
    <row r="375">
      <c r="C375" s="6" t="str">
        <f t="shared" si="1"/>
        <v/>
      </c>
      <c r="J375" s="7" t="str">
        <f>IFERROR(__xludf.DUMMYFUNCTION("IF($C375 = """", """", IFNA(
  ROWS(
    FILTER(
      Events!$G$2:$G1000,
      Events!$B$2:$B1000 &gt;= TODAY() - 90,
      REGEXMATCH(
        "","" &amp; SUBSTITUTE(Events!$G$2:$G1000, "" "", """") &amp; "","",
        "","" &amp; SUBSTITUTE($C375, "" "", """") &amp; """&amp;",""
      )
    )
  ),
0)
)"),"")</f>
        <v/>
      </c>
      <c r="K375" s="7" t="str">
        <f t="shared" si="2"/>
        <v>#N/A</v>
      </c>
    </row>
    <row r="376">
      <c r="C376" s="6" t="str">
        <f t="shared" si="1"/>
        <v/>
      </c>
      <c r="J376" s="7" t="str">
        <f>IFERROR(__xludf.DUMMYFUNCTION("IF($C376 = """", """", IFNA(
  ROWS(
    FILTER(
      Events!$G$2:$G1000,
      Events!$B$2:$B1000 &gt;= TODAY() - 90,
      REGEXMATCH(
        "","" &amp; SUBSTITUTE(Events!$G$2:$G1000, "" "", """") &amp; "","",
        "","" &amp; SUBSTITUTE($C376, "" "", """") &amp; """&amp;",""
      )
    )
  ),
0)
)"),"")</f>
        <v/>
      </c>
      <c r="K376" s="7" t="str">
        <f t="shared" si="2"/>
        <v>#N/A</v>
      </c>
    </row>
    <row r="377">
      <c r="C377" s="6" t="str">
        <f t="shared" si="1"/>
        <v/>
      </c>
      <c r="J377" s="7" t="str">
        <f>IFERROR(__xludf.DUMMYFUNCTION("IF($C377 = """", """", IFNA(
  ROWS(
    FILTER(
      Events!$G$2:$G1000,
      Events!$B$2:$B1000 &gt;= TODAY() - 90,
      REGEXMATCH(
        "","" &amp; SUBSTITUTE(Events!$G$2:$G1000, "" "", """") &amp; "","",
        "","" &amp; SUBSTITUTE($C377, "" "", """") &amp; """&amp;",""
      )
    )
  ),
0)
)"),"")</f>
        <v/>
      </c>
      <c r="K377" s="7" t="str">
        <f t="shared" si="2"/>
        <v>#N/A</v>
      </c>
    </row>
    <row r="378">
      <c r="C378" s="6" t="str">
        <f t="shared" si="1"/>
        <v/>
      </c>
      <c r="J378" s="7" t="str">
        <f>IFERROR(__xludf.DUMMYFUNCTION("IF($C378 = """", """", IFNA(
  ROWS(
    FILTER(
      Events!$G$2:$G1000,
      Events!$B$2:$B1000 &gt;= TODAY() - 90,
      REGEXMATCH(
        "","" &amp; SUBSTITUTE(Events!$G$2:$G1000, "" "", """") &amp; "","",
        "","" &amp; SUBSTITUTE($C378, "" "", """") &amp; """&amp;",""
      )
    )
  ),
0)
)"),"")</f>
        <v/>
      </c>
      <c r="K378" s="7" t="str">
        <f t="shared" si="2"/>
        <v>#N/A</v>
      </c>
    </row>
    <row r="379">
      <c r="C379" s="6" t="str">
        <f t="shared" si="1"/>
        <v/>
      </c>
      <c r="J379" s="7" t="str">
        <f>IFERROR(__xludf.DUMMYFUNCTION("IF($C379 = """", """", IFNA(
  ROWS(
    FILTER(
      Events!$G$2:$G1000,
      Events!$B$2:$B1000 &gt;= TODAY() - 90,
      REGEXMATCH(
        "","" &amp; SUBSTITUTE(Events!$G$2:$G1000, "" "", """") &amp; "","",
        "","" &amp; SUBSTITUTE($C379, "" "", """") &amp; """&amp;",""
      )
    )
  ),
0)
)"),"")</f>
        <v/>
      </c>
      <c r="K379" s="7" t="str">
        <f t="shared" si="2"/>
        <v>#N/A</v>
      </c>
    </row>
    <row r="380">
      <c r="C380" s="6" t="str">
        <f t="shared" si="1"/>
        <v/>
      </c>
      <c r="J380" s="7" t="str">
        <f>IFERROR(__xludf.DUMMYFUNCTION("IF($C380 = """", """", IFNA(
  ROWS(
    FILTER(
      Events!$G$2:$G1000,
      Events!$B$2:$B1000 &gt;= TODAY() - 90,
      REGEXMATCH(
        "","" &amp; SUBSTITUTE(Events!$G$2:$G1000, "" "", """") &amp; "","",
        "","" &amp; SUBSTITUTE($C380, "" "", """") &amp; """&amp;",""
      )
    )
  ),
0)
)"),"")</f>
        <v/>
      </c>
      <c r="K380" s="7" t="str">
        <f t="shared" si="2"/>
        <v>#N/A</v>
      </c>
    </row>
    <row r="381">
      <c r="C381" s="6" t="str">
        <f t="shared" si="1"/>
        <v/>
      </c>
      <c r="J381" s="7" t="str">
        <f>IFERROR(__xludf.DUMMYFUNCTION("IF($C381 = """", """", IFNA(
  ROWS(
    FILTER(
      Events!$G$2:$G1000,
      Events!$B$2:$B1000 &gt;= TODAY() - 90,
      REGEXMATCH(
        "","" &amp; SUBSTITUTE(Events!$G$2:$G1000, "" "", """") &amp; "","",
        "","" &amp; SUBSTITUTE($C381, "" "", """") &amp; """&amp;",""
      )
    )
  ),
0)
)"),"")</f>
        <v/>
      </c>
      <c r="K381" s="7" t="str">
        <f t="shared" si="2"/>
        <v>#N/A</v>
      </c>
    </row>
    <row r="382">
      <c r="C382" s="6" t="str">
        <f t="shared" si="1"/>
        <v/>
      </c>
      <c r="J382" s="7" t="str">
        <f>IFERROR(__xludf.DUMMYFUNCTION("IF($C382 = """", """", IFNA(
  ROWS(
    FILTER(
      Events!$G$2:$G1000,
      Events!$B$2:$B1000 &gt;= TODAY() - 90,
      REGEXMATCH(
        "","" &amp; SUBSTITUTE(Events!$G$2:$G1000, "" "", """") &amp; "","",
        "","" &amp; SUBSTITUTE($C382, "" "", """") &amp; """&amp;",""
      )
    )
  ),
0)
)"),"")</f>
        <v/>
      </c>
      <c r="K382" s="7" t="str">
        <f t="shared" si="2"/>
        <v>#N/A</v>
      </c>
    </row>
    <row r="383">
      <c r="C383" s="6" t="str">
        <f t="shared" si="1"/>
        <v/>
      </c>
      <c r="J383" s="7" t="str">
        <f>IFERROR(__xludf.DUMMYFUNCTION("IF($C383 = """", """", IFNA(
  ROWS(
    FILTER(
      Events!$G$2:$G1000,
      Events!$B$2:$B1000 &gt;= TODAY() - 90,
      REGEXMATCH(
        "","" &amp; SUBSTITUTE(Events!$G$2:$G1000, "" "", """") &amp; "","",
        "","" &amp; SUBSTITUTE($C383, "" "", """") &amp; """&amp;",""
      )
    )
  ),
0)
)"),"")</f>
        <v/>
      </c>
      <c r="K383" s="7" t="str">
        <f t="shared" si="2"/>
        <v>#N/A</v>
      </c>
    </row>
    <row r="384">
      <c r="C384" s="6" t="str">
        <f t="shared" si="1"/>
        <v/>
      </c>
      <c r="J384" s="7" t="str">
        <f>IFERROR(__xludf.DUMMYFUNCTION("IF($C384 = """", """", IFNA(
  ROWS(
    FILTER(
      Events!$G$2:$G1000,
      Events!$B$2:$B1000 &gt;= TODAY() - 90,
      REGEXMATCH(
        "","" &amp; SUBSTITUTE(Events!$G$2:$G1000, "" "", """") &amp; "","",
        "","" &amp; SUBSTITUTE($C384, "" "", """") &amp; """&amp;",""
      )
    )
  ),
0)
)"),"")</f>
        <v/>
      </c>
      <c r="K384" s="7" t="str">
        <f t="shared" si="2"/>
        <v>#N/A</v>
      </c>
    </row>
    <row r="385">
      <c r="C385" s="6" t="str">
        <f t="shared" si="1"/>
        <v/>
      </c>
      <c r="J385" s="7" t="str">
        <f>IFERROR(__xludf.DUMMYFUNCTION("IF($C385 = """", """", IFNA(
  ROWS(
    FILTER(
      Events!$G$2:$G1000,
      Events!$B$2:$B1000 &gt;= TODAY() - 90,
      REGEXMATCH(
        "","" &amp; SUBSTITUTE(Events!$G$2:$G1000, "" "", """") &amp; "","",
        "","" &amp; SUBSTITUTE($C385, "" "", """") &amp; """&amp;",""
      )
    )
  ),
0)
)"),"")</f>
        <v/>
      </c>
      <c r="K385" s="7" t="str">
        <f t="shared" si="2"/>
        <v>#N/A</v>
      </c>
    </row>
    <row r="386">
      <c r="C386" s="6" t="str">
        <f t="shared" si="1"/>
        <v/>
      </c>
      <c r="J386" s="7" t="str">
        <f>IFERROR(__xludf.DUMMYFUNCTION("IF($C386 = """", """", IFNA(
  ROWS(
    FILTER(
      Events!$G$2:$G1000,
      Events!$B$2:$B1000 &gt;= TODAY() - 90,
      REGEXMATCH(
        "","" &amp; SUBSTITUTE(Events!$G$2:$G1000, "" "", """") &amp; "","",
        "","" &amp; SUBSTITUTE($C386, "" "", """") &amp; """&amp;",""
      )
    )
  ),
0)
)"),"")</f>
        <v/>
      </c>
      <c r="K386" s="7" t="str">
        <f t="shared" si="2"/>
        <v>#N/A</v>
      </c>
    </row>
    <row r="387">
      <c r="C387" s="6" t="str">
        <f t="shared" si="1"/>
        <v/>
      </c>
      <c r="J387" s="7" t="str">
        <f>IFERROR(__xludf.DUMMYFUNCTION("IF($C387 = """", """", IFNA(
  ROWS(
    FILTER(
      Events!$G$2:$G1000,
      Events!$B$2:$B1000 &gt;= TODAY() - 90,
      REGEXMATCH(
        "","" &amp; SUBSTITUTE(Events!$G$2:$G1000, "" "", """") &amp; "","",
        "","" &amp; SUBSTITUTE($C387, "" "", """") &amp; """&amp;",""
      )
    )
  ),
0)
)"),"")</f>
        <v/>
      </c>
      <c r="K387" s="7" t="str">
        <f t="shared" si="2"/>
        <v>#N/A</v>
      </c>
    </row>
    <row r="388">
      <c r="C388" s="6" t="str">
        <f t="shared" si="1"/>
        <v/>
      </c>
      <c r="J388" s="7" t="str">
        <f>IFERROR(__xludf.DUMMYFUNCTION("IF($C388 = """", """", IFNA(
  ROWS(
    FILTER(
      Events!$G$2:$G1000,
      Events!$B$2:$B1000 &gt;= TODAY() - 90,
      REGEXMATCH(
        "","" &amp; SUBSTITUTE(Events!$G$2:$G1000, "" "", """") &amp; "","",
        "","" &amp; SUBSTITUTE($C388, "" "", """") &amp; """&amp;",""
      )
    )
  ),
0)
)"),"")</f>
        <v/>
      </c>
      <c r="K388" s="7" t="str">
        <f t="shared" si="2"/>
        <v>#N/A</v>
      </c>
    </row>
    <row r="389">
      <c r="C389" s="6" t="str">
        <f t="shared" si="1"/>
        <v/>
      </c>
      <c r="J389" s="7" t="str">
        <f>IFERROR(__xludf.DUMMYFUNCTION("IF($C389 = """", """", IFNA(
  ROWS(
    FILTER(
      Events!$G$2:$G1000,
      Events!$B$2:$B1000 &gt;= TODAY() - 90,
      REGEXMATCH(
        "","" &amp; SUBSTITUTE(Events!$G$2:$G1000, "" "", """") &amp; "","",
        "","" &amp; SUBSTITUTE($C389, "" "", """") &amp; """&amp;",""
      )
    )
  ),
0)
)"),"")</f>
        <v/>
      </c>
      <c r="K389" s="7" t="str">
        <f t="shared" si="2"/>
        <v>#N/A</v>
      </c>
    </row>
    <row r="390">
      <c r="C390" s="6" t="str">
        <f t="shared" si="1"/>
        <v/>
      </c>
      <c r="J390" s="7" t="str">
        <f>IFERROR(__xludf.DUMMYFUNCTION("IF($C390 = """", """", IFNA(
  ROWS(
    FILTER(
      Events!$G$2:$G1000,
      Events!$B$2:$B1000 &gt;= TODAY() - 90,
      REGEXMATCH(
        "","" &amp; SUBSTITUTE(Events!$G$2:$G1000, "" "", """") &amp; "","",
        "","" &amp; SUBSTITUTE($C390, "" "", """") &amp; """&amp;",""
      )
    )
  ),
0)
)"),"")</f>
        <v/>
      </c>
      <c r="K390" s="7" t="str">
        <f t="shared" si="2"/>
        <v>#N/A</v>
      </c>
    </row>
    <row r="391">
      <c r="C391" s="6" t="str">
        <f t="shared" si="1"/>
        <v/>
      </c>
      <c r="J391" s="7" t="str">
        <f>IFERROR(__xludf.DUMMYFUNCTION("IF($C391 = """", """", IFNA(
  ROWS(
    FILTER(
      Events!$G$2:$G1000,
      Events!$B$2:$B1000 &gt;= TODAY() - 90,
      REGEXMATCH(
        "","" &amp; SUBSTITUTE(Events!$G$2:$G1000, "" "", """") &amp; "","",
        "","" &amp; SUBSTITUTE($C391, "" "", """") &amp; """&amp;",""
      )
    )
  ),
0)
)"),"")</f>
        <v/>
      </c>
      <c r="K391" s="7" t="str">
        <f t="shared" si="2"/>
        <v>#N/A</v>
      </c>
    </row>
    <row r="392">
      <c r="C392" s="6" t="str">
        <f t="shared" si="1"/>
        <v/>
      </c>
      <c r="J392" s="7" t="str">
        <f>IFERROR(__xludf.DUMMYFUNCTION("IF($C392 = """", """", IFNA(
  ROWS(
    FILTER(
      Events!$G$2:$G1000,
      Events!$B$2:$B1000 &gt;= TODAY() - 90,
      REGEXMATCH(
        "","" &amp; SUBSTITUTE(Events!$G$2:$G1000, "" "", """") &amp; "","",
        "","" &amp; SUBSTITUTE($C392, "" "", """") &amp; """&amp;",""
      )
    )
  ),
0)
)"),"")</f>
        <v/>
      </c>
      <c r="K392" s="7" t="str">
        <f t="shared" si="2"/>
        <v>#N/A</v>
      </c>
    </row>
    <row r="393">
      <c r="C393" s="6" t="str">
        <f t="shared" si="1"/>
        <v/>
      </c>
      <c r="J393" s="7" t="str">
        <f>IFERROR(__xludf.DUMMYFUNCTION("IF($C393 = """", """", IFNA(
  ROWS(
    FILTER(
      Events!$G$2:$G1000,
      Events!$B$2:$B1000 &gt;= TODAY() - 90,
      REGEXMATCH(
        "","" &amp; SUBSTITUTE(Events!$G$2:$G1000, "" "", """") &amp; "","",
        "","" &amp; SUBSTITUTE($C393, "" "", """") &amp; """&amp;",""
      )
    )
  ),
0)
)"),"")</f>
        <v/>
      </c>
      <c r="K393" s="7" t="str">
        <f t="shared" si="2"/>
        <v>#N/A</v>
      </c>
    </row>
    <row r="394">
      <c r="C394" s="6" t="str">
        <f t="shared" si="1"/>
        <v/>
      </c>
      <c r="J394" s="7" t="str">
        <f>IFERROR(__xludf.DUMMYFUNCTION("IF($C394 = """", """", IFNA(
  ROWS(
    FILTER(
      Events!$G$2:$G1000,
      Events!$B$2:$B1000 &gt;= TODAY() - 90,
      REGEXMATCH(
        "","" &amp; SUBSTITUTE(Events!$G$2:$G1000, "" "", """") &amp; "","",
        "","" &amp; SUBSTITUTE($C394, "" "", """") &amp; """&amp;",""
      )
    )
  ),
0)
)"),"")</f>
        <v/>
      </c>
      <c r="K394" s="7" t="str">
        <f t="shared" si="2"/>
        <v>#N/A</v>
      </c>
    </row>
    <row r="395">
      <c r="C395" s="6" t="str">
        <f t="shared" si="1"/>
        <v/>
      </c>
      <c r="J395" s="7" t="str">
        <f>IFERROR(__xludf.DUMMYFUNCTION("IF($C395 = """", """", IFNA(
  ROWS(
    FILTER(
      Events!$G$2:$G1000,
      Events!$B$2:$B1000 &gt;= TODAY() - 90,
      REGEXMATCH(
        "","" &amp; SUBSTITUTE(Events!$G$2:$G1000, "" "", """") &amp; "","",
        "","" &amp; SUBSTITUTE($C395, "" "", """") &amp; """&amp;",""
      )
    )
  ),
0)
)"),"")</f>
        <v/>
      </c>
      <c r="K395" s="7" t="str">
        <f t="shared" si="2"/>
        <v>#N/A</v>
      </c>
    </row>
    <row r="396">
      <c r="C396" s="6" t="str">
        <f t="shared" si="1"/>
        <v/>
      </c>
      <c r="J396" s="7" t="str">
        <f>IFERROR(__xludf.DUMMYFUNCTION("IF($C396 = """", """", IFNA(
  ROWS(
    FILTER(
      Events!$G$2:$G1000,
      Events!$B$2:$B1000 &gt;= TODAY() - 90,
      REGEXMATCH(
        "","" &amp; SUBSTITUTE(Events!$G$2:$G1000, "" "", """") &amp; "","",
        "","" &amp; SUBSTITUTE($C396, "" "", """") &amp; """&amp;",""
      )
    )
  ),
0)
)"),"")</f>
        <v/>
      </c>
      <c r="K396" s="7" t="str">
        <f t="shared" si="2"/>
        <v>#N/A</v>
      </c>
    </row>
    <row r="397">
      <c r="C397" s="6" t="str">
        <f t="shared" si="1"/>
        <v/>
      </c>
      <c r="J397" s="7" t="str">
        <f>IFERROR(__xludf.DUMMYFUNCTION("IF($C397 = """", """", IFNA(
  ROWS(
    FILTER(
      Events!$G$2:$G1000,
      Events!$B$2:$B1000 &gt;= TODAY() - 90,
      REGEXMATCH(
        "","" &amp; SUBSTITUTE(Events!$G$2:$G1000, "" "", """") &amp; "","",
        "","" &amp; SUBSTITUTE($C397, "" "", """") &amp; """&amp;",""
      )
    )
  ),
0)
)"),"")</f>
        <v/>
      </c>
      <c r="K397" s="7" t="str">
        <f t="shared" si="2"/>
        <v>#N/A</v>
      </c>
    </row>
    <row r="398">
      <c r="C398" s="6" t="str">
        <f t="shared" si="1"/>
        <v/>
      </c>
      <c r="J398" s="7" t="str">
        <f>IFERROR(__xludf.DUMMYFUNCTION("IF($C398 = """", """", IFNA(
  ROWS(
    FILTER(
      Events!$G$2:$G1000,
      Events!$B$2:$B1000 &gt;= TODAY() - 90,
      REGEXMATCH(
        "","" &amp; SUBSTITUTE(Events!$G$2:$G1000, "" "", """") &amp; "","",
        "","" &amp; SUBSTITUTE($C398, "" "", """") &amp; """&amp;",""
      )
    )
  ),
0)
)"),"")</f>
        <v/>
      </c>
      <c r="K398" s="7" t="str">
        <f t="shared" si="2"/>
        <v>#N/A</v>
      </c>
    </row>
    <row r="399">
      <c r="C399" s="6" t="str">
        <f t="shared" si="1"/>
        <v/>
      </c>
      <c r="J399" s="7" t="str">
        <f>IFERROR(__xludf.DUMMYFUNCTION("IF($C399 = """", """", IFNA(
  ROWS(
    FILTER(
      Events!$G$2:$G1000,
      Events!$B$2:$B1000 &gt;= TODAY() - 90,
      REGEXMATCH(
        "","" &amp; SUBSTITUTE(Events!$G$2:$G1000, "" "", """") &amp; "","",
        "","" &amp; SUBSTITUTE($C399, "" "", """") &amp; """&amp;",""
      )
    )
  ),
0)
)"),"")</f>
        <v/>
      </c>
      <c r="K399" s="7" t="str">
        <f t="shared" si="2"/>
        <v>#N/A</v>
      </c>
    </row>
    <row r="400">
      <c r="C400" s="6" t="str">
        <f t="shared" si="1"/>
        <v/>
      </c>
      <c r="J400" s="7" t="str">
        <f>IFERROR(__xludf.DUMMYFUNCTION("IF($C400 = """", """", IFNA(
  ROWS(
    FILTER(
      Events!$G$2:$G1000,
      Events!$B$2:$B1000 &gt;= TODAY() - 90,
      REGEXMATCH(
        "","" &amp; SUBSTITUTE(Events!$G$2:$G1000, "" "", """") &amp; "","",
        "","" &amp; SUBSTITUTE($C400, "" "", """") &amp; """&amp;",""
      )
    )
  ),
0)
)"),"")</f>
        <v/>
      </c>
      <c r="K400" s="7" t="str">
        <f t="shared" si="2"/>
        <v>#N/A</v>
      </c>
    </row>
    <row r="401">
      <c r="C401" s="6" t="str">
        <f t="shared" si="1"/>
        <v/>
      </c>
      <c r="J401" s="7" t="str">
        <f>IFERROR(__xludf.DUMMYFUNCTION("IF($C401 = """", """", IFNA(
  ROWS(
    FILTER(
      Events!$G$2:$G1000,
      Events!$B$2:$B1000 &gt;= TODAY() - 90,
      REGEXMATCH(
        "","" &amp; SUBSTITUTE(Events!$G$2:$G1000, "" "", """") &amp; "","",
        "","" &amp; SUBSTITUTE($C401, "" "", """") &amp; """&amp;",""
      )
    )
  ),
0)
)"),"")</f>
        <v/>
      </c>
      <c r="K401" s="7" t="str">
        <f t="shared" si="2"/>
        <v>#N/A</v>
      </c>
    </row>
    <row r="402">
      <c r="C402" s="6" t="str">
        <f t="shared" si="1"/>
        <v/>
      </c>
      <c r="J402" s="7" t="str">
        <f>IFERROR(__xludf.DUMMYFUNCTION("IF($C402 = """", """", IFNA(
  ROWS(
    FILTER(
      Events!$G$2:$G1000,
      Events!$B$2:$B1000 &gt;= TODAY() - 90,
      REGEXMATCH(
        "","" &amp; SUBSTITUTE(Events!$G$2:$G1000, "" "", """") &amp; "","",
        "","" &amp; SUBSTITUTE($C402, "" "", """") &amp; """&amp;",""
      )
    )
  ),
0)
)"),"")</f>
        <v/>
      </c>
      <c r="K402" s="7" t="str">
        <f t="shared" si="2"/>
        <v>#N/A</v>
      </c>
    </row>
    <row r="403">
      <c r="C403" s="6" t="str">
        <f t="shared" si="1"/>
        <v/>
      </c>
      <c r="J403" s="7" t="str">
        <f>IFERROR(__xludf.DUMMYFUNCTION("IF($C403 = """", """", IFNA(
  ROWS(
    FILTER(
      Events!$G$2:$G1000,
      Events!$B$2:$B1000 &gt;= TODAY() - 90,
      REGEXMATCH(
        "","" &amp; SUBSTITUTE(Events!$G$2:$G1000, "" "", """") &amp; "","",
        "","" &amp; SUBSTITUTE($C403, "" "", """") &amp; """&amp;",""
      )
    )
  ),
0)
)"),"")</f>
        <v/>
      </c>
      <c r="K403" s="7" t="str">
        <f t="shared" si="2"/>
        <v>#N/A</v>
      </c>
    </row>
    <row r="404">
      <c r="C404" s="6" t="str">
        <f t="shared" si="1"/>
        <v/>
      </c>
      <c r="J404" s="7" t="str">
        <f>IFERROR(__xludf.DUMMYFUNCTION("IF($C404 = """", """", IFNA(
  ROWS(
    FILTER(
      Events!$G$2:$G1000,
      Events!$B$2:$B1000 &gt;= TODAY() - 90,
      REGEXMATCH(
        "","" &amp; SUBSTITUTE(Events!$G$2:$G1000, "" "", """") &amp; "","",
        "","" &amp; SUBSTITUTE($C404, "" "", """") &amp; """&amp;",""
      )
    )
  ),
0)
)"),"")</f>
        <v/>
      </c>
      <c r="K404" s="7" t="str">
        <f t="shared" si="2"/>
        <v>#N/A</v>
      </c>
    </row>
    <row r="405">
      <c r="C405" s="6" t="str">
        <f t="shared" si="1"/>
        <v/>
      </c>
      <c r="J405" s="7" t="str">
        <f>IFERROR(__xludf.DUMMYFUNCTION("IF($C405 = """", """", IFNA(
  ROWS(
    FILTER(
      Events!$G$2:$G1000,
      Events!$B$2:$B1000 &gt;= TODAY() - 90,
      REGEXMATCH(
        "","" &amp; SUBSTITUTE(Events!$G$2:$G1000, "" "", """") &amp; "","",
        "","" &amp; SUBSTITUTE($C405, "" "", """") &amp; """&amp;",""
      )
    )
  ),
0)
)"),"")</f>
        <v/>
      </c>
      <c r="K405" s="7" t="str">
        <f t="shared" si="2"/>
        <v>#N/A</v>
      </c>
    </row>
    <row r="406">
      <c r="C406" s="6" t="str">
        <f t="shared" si="1"/>
        <v/>
      </c>
      <c r="J406" s="7" t="str">
        <f>IFERROR(__xludf.DUMMYFUNCTION("IF($C406 = """", """", IFNA(
  ROWS(
    FILTER(
      Events!$G$2:$G1000,
      Events!$B$2:$B1000 &gt;= TODAY() - 90,
      REGEXMATCH(
        "","" &amp; SUBSTITUTE(Events!$G$2:$G1000, "" "", """") &amp; "","",
        "","" &amp; SUBSTITUTE($C406, "" "", """") &amp; """&amp;",""
      )
    )
  ),
0)
)"),"")</f>
        <v/>
      </c>
      <c r="K406" s="7" t="str">
        <f t="shared" si="2"/>
        <v>#N/A</v>
      </c>
    </row>
    <row r="407">
      <c r="C407" s="6" t="str">
        <f t="shared" si="1"/>
        <v/>
      </c>
      <c r="J407" s="7" t="str">
        <f>IFERROR(__xludf.DUMMYFUNCTION("IF($C407 = """", """", IFNA(
  ROWS(
    FILTER(
      Events!$G$2:$G1000,
      Events!$B$2:$B1000 &gt;= TODAY() - 90,
      REGEXMATCH(
        "","" &amp; SUBSTITUTE(Events!$G$2:$G1000, "" "", """") &amp; "","",
        "","" &amp; SUBSTITUTE($C407, "" "", """") &amp; """&amp;",""
      )
    )
  ),
0)
)"),"")</f>
        <v/>
      </c>
      <c r="K407" s="7" t="str">
        <f t="shared" si="2"/>
        <v>#N/A</v>
      </c>
    </row>
    <row r="408">
      <c r="C408" s="6" t="str">
        <f t="shared" si="1"/>
        <v/>
      </c>
      <c r="J408" s="7" t="str">
        <f>IFERROR(__xludf.DUMMYFUNCTION("IF($C408 = """", """", IFNA(
  ROWS(
    FILTER(
      Events!$G$2:$G1000,
      Events!$B$2:$B1000 &gt;= TODAY() - 90,
      REGEXMATCH(
        "","" &amp; SUBSTITUTE(Events!$G$2:$G1000, "" "", """") &amp; "","",
        "","" &amp; SUBSTITUTE($C408, "" "", """") &amp; """&amp;",""
      )
    )
  ),
0)
)"),"")</f>
        <v/>
      </c>
      <c r="K408" s="7" t="str">
        <f t="shared" si="2"/>
        <v>#N/A</v>
      </c>
    </row>
    <row r="409">
      <c r="C409" s="6" t="str">
        <f t="shared" si="1"/>
        <v/>
      </c>
      <c r="J409" s="7" t="str">
        <f>IFERROR(__xludf.DUMMYFUNCTION("IF($C409 = """", """", IFNA(
  ROWS(
    FILTER(
      Events!$G$2:$G1000,
      Events!$B$2:$B1000 &gt;= TODAY() - 90,
      REGEXMATCH(
        "","" &amp; SUBSTITUTE(Events!$G$2:$G1000, "" "", """") &amp; "","",
        "","" &amp; SUBSTITUTE($C409, "" "", """") &amp; """&amp;",""
      )
    )
  ),
0)
)"),"")</f>
        <v/>
      </c>
      <c r="K409" s="7" t="str">
        <f t="shared" si="2"/>
        <v>#N/A</v>
      </c>
    </row>
    <row r="410">
      <c r="C410" s="6" t="str">
        <f t="shared" si="1"/>
        <v/>
      </c>
      <c r="J410" s="7" t="str">
        <f>IFERROR(__xludf.DUMMYFUNCTION("IF($C410 = """", """", IFNA(
  ROWS(
    FILTER(
      Events!$G$2:$G1000,
      Events!$B$2:$B1000 &gt;= TODAY() - 90,
      REGEXMATCH(
        "","" &amp; SUBSTITUTE(Events!$G$2:$G1000, "" "", """") &amp; "","",
        "","" &amp; SUBSTITUTE($C410, "" "", """") &amp; """&amp;",""
      )
    )
  ),
0)
)"),"")</f>
        <v/>
      </c>
      <c r="K410" s="7" t="str">
        <f t="shared" si="2"/>
        <v>#N/A</v>
      </c>
    </row>
    <row r="411">
      <c r="C411" s="6" t="str">
        <f t="shared" si="1"/>
        <v/>
      </c>
      <c r="J411" s="7" t="str">
        <f>IFERROR(__xludf.DUMMYFUNCTION("IF($C411 = """", """", IFNA(
  ROWS(
    FILTER(
      Events!$G$2:$G1000,
      Events!$B$2:$B1000 &gt;= TODAY() - 90,
      REGEXMATCH(
        "","" &amp; SUBSTITUTE(Events!$G$2:$G1000, "" "", """") &amp; "","",
        "","" &amp; SUBSTITUTE($C411, "" "", """") &amp; """&amp;",""
      )
    )
  ),
0)
)"),"")</f>
        <v/>
      </c>
      <c r="K411" s="7" t="str">
        <f t="shared" si="2"/>
        <v>#N/A</v>
      </c>
    </row>
    <row r="412">
      <c r="C412" s="6" t="str">
        <f t="shared" si="1"/>
        <v/>
      </c>
      <c r="J412" s="7" t="str">
        <f>IFERROR(__xludf.DUMMYFUNCTION("IF($C412 = """", """", IFNA(
  ROWS(
    FILTER(
      Events!$G$2:$G1000,
      Events!$B$2:$B1000 &gt;= TODAY() - 90,
      REGEXMATCH(
        "","" &amp; SUBSTITUTE(Events!$G$2:$G1000, "" "", """") &amp; "","",
        "","" &amp; SUBSTITUTE($C412, "" "", """") &amp; """&amp;",""
      )
    )
  ),
0)
)"),"")</f>
        <v/>
      </c>
      <c r="K412" s="7" t="str">
        <f t="shared" si="2"/>
        <v>#N/A</v>
      </c>
    </row>
    <row r="413">
      <c r="C413" s="6" t="str">
        <f t="shared" si="1"/>
        <v/>
      </c>
      <c r="J413" s="7" t="str">
        <f>IFERROR(__xludf.DUMMYFUNCTION("IF($C413 = """", """", IFNA(
  ROWS(
    FILTER(
      Events!$G$2:$G1000,
      Events!$B$2:$B1000 &gt;= TODAY() - 90,
      REGEXMATCH(
        "","" &amp; SUBSTITUTE(Events!$G$2:$G1000, "" "", """") &amp; "","",
        "","" &amp; SUBSTITUTE($C413, "" "", """") &amp; """&amp;",""
      )
    )
  ),
0)
)"),"")</f>
        <v/>
      </c>
      <c r="K413" s="7" t="str">
        <f t="shared" si="2"/>
        <v>#N/A</v>
      </c>
    </row>
    <row r="414">
      <c r="C414" s="6" t="str">
        <f t="shared" si="1"/>
        <v/>
      </c>
      <c r="J414" s="7" t="str">
        <f>IFERROR(__xludf.DUMMYFUNCTION("IF($C414 = """", """", IFNA(
  ROWS(
    FILTER(
      Events!$G$2:$G1000,
      Events!$B$2:$B1000 &gt;= TODAY() - 90,
      REGEXMATCH(
        "","" &amp; SUBSTITUTE(Events!$G$2:$G1000, "" "", """") &amp; "","",
        "","" &amp; SUBSTITUTE($C414, "" "", """") &amp; """&amp;",""
      )
    )
  ),
0)
)"),"")</f>
        <v/>
      </c>
      <c r="K414" s="7" t="str">
        <f t="shared" si="2"/>
        <v>#N/A</v>
      </c>
    </row>
    <row r="415">
      <c r="C415" s="6" t="str">
        <f t="shared" si="1"/>
        <v/>
      </c>
      <c r="J415" s="7" t="str">
        <f>IFERROR(__xludf.DUMMYFUNCTION("IF($C415 = """", """", IFNA(
  ROWS(
    FILTER(
      Events!$G$2:$G1000,
      Events!$B$2:$B1000 &gt;= TODAY() - 90,
      REGEXMATCH(
        "","" &amp; SUBSTITUTE(Events!$G$2:$G1000, "" "", """") &amp; "","",
        "","" &amp; SUBSTITUTE($C415, "" "", """") &amp; """&amp;",""
      )
    )
  ),
0)
)"),"")</f>
        <v/>
      </c>
      <c r="K415" s="7" t="str">
        <f t="shared" si="2"/>
        <v>#N/A</v>
      </c>
    </row>
    <row r="416">
      <c r="C416" s="6" t="str">
        <f t="shared" si="1"/>
        <v/>
      </c>
      <c r="J416" s="7" t="str">
        <f>IFERROR(__xludf.DUMMYFUNCTION("IF($C416 = """", """", IFNA(
  ROWS(
    FILTER(
      Events!$G$2:$G1000,
      Events!$B$2:$B1000 &gt;= TODAY() - 90,
      REGEXMATCH(
        "","" &amp; SUBSTITUTE(Events!$G$2:$G1000, "" "", """") &amp; "","",
        "","" &amp; SUBSTITUTE($C416, "" "", """") &amp; """&amp;",""
      )
    )
  ),
0)
)"),"")</f>
        <v/>
      </c>
      <c r="K416" s="7" t="str">
        <f t="shared" si="2"/>
        <v>#N/A</v>
      </c>
    </row>
    <row r="417">
      <c r="C417" s="6" t="str">
        <f t="shared" si="1"/>
        <v/>
      </c>
      <c r="J417" s="7" t="str">
        <f>IFERROR(__xludf.DUMMYFUNCTION("IF($C417 = """", """", IFNA(
  ROWS(
    FILTER(
      Events!$G$2:$G1000,
      Events!$B$2:$B1000 &gt;= TODAY() - 90,
      REGEXMATCH(
        "","" &amp; SUBSTITUTE(Events!$G$2:$G1000, "" "", """") &amp; "","",
        "","" &amp; SUBSTITUTE($C417, "" "", """") &amp; """&amp;",""
      )
    )
  ),
0)
)"),"")</f>
        <v/>
      </c>
      <c r="K417" s="7" t="str">
        <f t="shared" si="2"/>
        <v>#N/A</v>
      </c>
    </row>
    <row r="418">
      <c r="C418" s="6" t="str">
        <f t="shared" si="1"/>
        <v/>
      </c>
      <c r="J418" s="7" t="str">
        <f>IFERROR(__xludf.DUMMYFUNCTION("IF($C418 = """", """", IFNA(
  ROWS(
    FILTER(
      Events!$G$2:$G1000,
      Events!$B$2:$B1000 &gt;= TODAY() - 90,
      REGEXMATCH(
        "","" &amp; SUBSTITUTE(Events!$G$2:$G1000, "" "", """") &amp; "","",
        "","" &amp; SUBSTITUTE($C418, "" "", """") &amp; """&amp;",""
      )
    )
  ),
0)
)"),"")</f>
        <v/>
      </c>
      <c r="K418" s="7" t="str">
        <f t="shared" si="2"/>
        <v>#N/A</v>
      </c>
    </row>
    <row r="419">
      <c r="C419" s="6" t="str">
        <f t="shared" si="1"/>
        <v/>
      </c>
      <c r="J419" s="7" t="str">
        <f>IFERROR(__xludf.DUMMYFUNCTION("IF($C419 = """", """", IFNA(
  ROWS(
    FILTER(
      Events!$G$2:$G1000,
      Events!$B$2:$B1000 &gt;= TODAY() - 90,
      REGEXMATCH(
        "","" &amp; SUBSTITUTE(Events!$G$2:$G1000, "" "", """") &amp; "","",
        "","" &amp; SUBSTITUTE($C419, "" "", """") &amp; """&amp;",""
      )
    )
  ),
0)
)"),"")</f>
        <v/>
      </c>
      <c r="K419" s="7" t="str">
        <f t="shared" si="2"/>
        <v>#N/A</v>
      </c>
    </row>
    <row r="420">
      <c r="C420" s="6" t="str">
        <f t="shared" si="1"/>
        <v/>
      </c>
      <c r="J420" s="7" t="str">
        <f>IFERROR(__xludf.DUMMYFUNCTION("IF($C420 = """", """", IFNA(
  ROWS(
    FILTER(
      Events!$G$2:$G1000,
      Events!$B$2:$B1000 &gt;= TODAY() - 90,
      REGEXMATCH(
        "","" &amp; SUBSTITUTE(Events!$G$2:$G1000, "" "", """") &amp; "","",
        "","" &amp; SUBSTITUTE($C420, "" "", """") &amp; """&amp;",""
      )
    )
  ),
0)
)"),"")</f>
        <v/>
      </c>
      <c r="K420" s="7" t="str">
        <f t="shared" si="2"/>
        <v>#N/A</v>
      </c>
    </row>
    <row r="421">
      <c r="C421" s="6" t="str">
        <f t="shared" si="1"/>
        <v/>
      </c>
      <c r="J421" s="7" t="str">
        <f>IFERROR(__xludf.DUMMYFUNCTION("IF($C421 = """", """", IFNA(
  ROWS(
    FILTER(
      Events!$G$2:$G1000,
      Events!$B$2:$B1000 &gt;= TODAY() - 90,
      REGEXMATCH(
        "","" &amp; SUBSTITUTE(Events!$G$2:$G1000, "" "", """") &amp; "","",
        "","" &amp; SUBSTITUTE($C421, "" "", """") &amp; """&amp;",""
      )
    )
  ),
0)
)"),"")</f>
        <v/>
      </c>
      <c r="K421" s="7" t="str">
        <f t="shared" si="2"/>
        <v>#N/A</v>
      </c>
    </row>
    <row r="422">
      <c r="C422" s="6" t="str">
        <f t="shared" si="1"/>
        <v/>
      </c>
      <c r="J422" s="7" t="str">
        <f>IFERROR(__xludf.DUMMYFUNCTION("IF($C422 = """", """", IFNA(
  ROWS(
    FILTER(
      Events!$G$2:$G1000,
      Events!$B$2:$B1000 &gt;= TODAY() - 90,
      REGEXMATCH(
        "","" &amp; SUBSTITUTE(Events!$G$2:$G1000, "" "", """") &amp; "","",
        "","" &amp; SUBSTITUTE($C422, "" "", """") &amp; """&amp;",""
      )
    )
  ),
0)
)"),"")</f>
        <v/>
      </c>
      <c r="K422" s="7" t="str">
        <f t="shared" si="2"/>
        <v>#N/A</v>
      </c>
    </row>
    <row r="423">
      <c r="C423" s="6" t="str">
        <f t="shared" si="1"/>
        <v/>
      </c>
      <c r="J423" s="7" t="str">
        <f>IFERROR(__xludf.DUMMYFUNCTION("IF($C423 = """", """", IFNA(
  ROWS(
    FILTER(
      Events!$G$2:$G1000,
      Events!$B$2:$B1000 &gt;= TODAY() - 90,
      REGEXMATCH(
        "","" &amp; SUBSTITUTE(Events!$G$2:$G1000, "" "", """") &amp; "","",
        "","" &amp; SUBSTITUTE($C423, "" "", """") &amp; """&amp;",""
      )
    )
  ),
0)
)"),"")</f>
        <v/>
      </c>
      <c r="K423" s="7" t="str">
        <f t="shared" si="2"/>
        <v>#N/A</v>
      </c>
    </row>
    <row r="424">
      <c r="C424" s="6" t="str">
        <f t="shared" si="1"/>
        <v/>
      </c>
      <c r="J424" s="7" t="str">
        <f>IFERROR(__xludf.DUMMYFUNCTION("IF($C424 = """", """", IFNA(
  ROWS(
    FILTER(
      Events!$G$2:$G1000,
      Events!$B$2:$B1000 &gt;= TODAY() - 90,
      REGEXMATCH(
        "","" &amp; SUBSTITUTE(Events!$G$2:$G1000, "" "", """") &amp; "","",
        "","" &amp; SUBSTITUTE($C424, "" "", """") &amp; """&amp;",""
      )
    )
  ),
0)
)"),"")</f>
        <v/>
      </c>
      <c r="K424" s="7" t="str">
        <f t="shared" si="2"/>
        <v>#N/A</v>
      </c>
    </row>
    <row r="425">
      <c r="C425" s="6" t="str">
        <f t="shared" si="1"/>
        <v/>
      </c>
      <c r="J425" s="7" t="str">
        <f>IFERROR(__xludf.DUMMYFUNCTION("IF($C425 = """", """", IFNA(
  ROWS(
    FILTER(
      Events!$G$2:$G1000,
      Events!$B$2:$B1000 &gt;= TODAY() - 90,
      REGEXMATCH(
        "","" &amp; SUBSTITUTE(Events!$G$2:$G1000, "" "", """") &amp; "","",
        "","" &amp; SUBSTITUTE($C425, "" "", """") &amp; """&amp;",""
      )
    )
  ),
0)
)"),"")</f>
        <v/>
      </c>
      <c r="K425" s="7" t="str">
        <f t="shared" si="2"/>
        <v>#N/A</v>
      </c>
    </row>
    <row r="426">
      <c r="C426" s="6" t="str">
        <f t="shared" si="1"/>
        <v/>
      </c>
      <c r="J426" s="7" t="str">
        <f>IFERROR(__xludf.DUMMYFUNCTION("IF($C426 = """", """", IFNA(
  ROWS(
    FILTER(
      Events!$G$2:$G1000,
      Events!$B$2:$B1000 &gt;= TODAY() - 90,
      REGEXMATCH(
        "","" &amp; SUBSTITUTE(Events!$G$2:$G1000, "" "", """") &amp; "","",
        "","" &amp; SUBSTITUTE($C426, "" "", """") &amp; """&amp;",""
      )
    )
  ),
0)
)"),"")</f>
        <v/>
      </c>
      <c r="K426" s="7" t="str">
        <f t="shared" si="2"/>
        <v>#N/A</v>
      </c>
    </row>
    <row r="427">
      <c r="C427" s="6" t="str">
        <f t="shared" si="1"/>
        <v/>
      </c>
      <c r="J427" s="7" t="str">
        <f>IFERROR(__xludf.DUMMYFUNCTION("IF($C427 = """", """", IFNA(
  ROWS(
    FILTER(
      Events!$G$2:$G1000,
      Events!$B$2:$B1000 &gt;= TODAY() - 90,
      REGEXMATCH(
        "","" &amp; SUBSTITUTE(Events!$G$2:$G1000, "" "", """") &amp; "","",
        "","" &amp; SUBSTITUTE($C427, "" "", """") &amp; """&amp;",""
      )
    )
  ),
0)
)"),"")</f>
        <v/>
      </c>
      <c r="K427" s="7" t="str">
        <f t="shared" si="2"/>
        <v>#N/A</v>
      </c>
    </row>
    <row r="428">
      <c r="C428" s="6" t="str">
        <f t="shared" si="1"/>
        <v/>
      </c>
      <c r="J428" s="7" t="str">
        <f>IFERROR(__xludf.DUMMYFUNCTION("IF($C428 = """", """", IFNA(
  ROWS(
    FILTER(
      Events!$G$2:$G1000,
      Events!$B$2:$B1000 &gt;= TODAY() - 90,
      REGEXMATCH(
        "","" &amp; SUBSTITUTE(Events!$G$2:$G1000, "" "", """") &amp; "","",
        "","" &amp; SUBSTITUTE($C428, "" "", """") &amp; """&amp;",""
      )
    )
  ),
0)
)"),"")</f>
        <v/>
      </c>
      <c r="K428" s="7" t="str">
        <f t="shared" si="2"/>
        <v>#N/A</v>
      </c>
    </row>
    <row r="429">
      <c r="C429" s="6" t="str">
        <f t="shared" si="1"/>
        <v/>
      </c>
      <c r="J429" s="7" t="str">
        <f>IFERROR(__xludf.DUMMYFUNCTION("IF($C429 = """", """", IFNA(
  ROWS(
    FILTER(
      Events!$G$2:$G1000,
      Events!$B$2:$B1000 &gt;= TODAY() - 90,
      REGEXMATCH(
        "","" &amp; SUBSTITUTE(Events!$G$2:$G1000, "" "", """") &amp; "","",
        "","" &amp; SUBSTITUTE($C429, "" "", """") &amp; """&amp;",""
      )
    )
  ),
0)
)"),"")</f>
        <v/>
      </c>
      <c r="K429" s="7" t="str">
        <f t="shared" si="2"/>
        <v>#N/A</v>
      </c>
    </row>
    <row r="430">
      <c r="C430" s="6" t="str">
        <f t="shared" si="1"/>
        <v/>
      </c>
      <c r="J430" s="7" t="str">
        <f>IFERROR(__xludf.DUMMYFUNCTION("IF($C430 = """", """", IFNA(
  ROWS(
    FILTER(
      Events!$G$2:$G1000,
      Events!$B$2:$B1000 &gt;= TODAY() - 90,
      REGEXMATCH(
        "","" &amp; SUBSTITUTE(Events!$G$2:$G1000, "" "", """") &amp; "","",
        "","" &amp; SUBSTITUTE($C430, "" "", """") &amp; """&amp;",""
      )
    )
  ),
0)
)"),"")</f>
        <v/>
      </c>
      <c r="K430" s="7" t="str">
        <f t="shared" si="2"/>
        <v>#N/A</v>
      </c>
    </row>
    <row r="431">
      <c r="C431" s="6" t="str">
        <f t="shared" si="1"/>
        <v/>
      </c>
      <c r="J431" s="7" t="str">
        <f>IFERROR(__xludf.DUMMYFUNCTION("IF($C431 = """", """", IFNA(
  ROWS(
    FILTER(
      Events!$G$2:$G1000,
      Events!$B$2:$B1000 &gt;= TODAY() - 90,
      REGEXMATCH(
        "","" &amp; SUBSTITUTE(Events!$G$2:$G1000, "" "", """") &amp; "","",
        "","" &amp; SUBSTITUTE($C431, "" "", """") &amp; """&amp;",""
      )
    )
  ),
0)
)"),"")</f>
        <v/>
      </c>
      <c r="K431" s="7" t="str">
        <f t="shared" si="2"/>
        <v>#N/A</v>
      </c>
    </row>
    <row r="432">
      <c r="C432" s="6" t="str">
        <f t="shared" si="1"/>
        <v/>
      </c>
      <c r="J432" s="7" t="str">
        <f>IFERROR(__xludf.DUMMYFUNCTION("IF($C432 = """", """", IFNA(
  ROWS(
    FILTER(
      Events!$G$2:$G1000,
      Events!$B$2:$B1000 &gt;= TODAY() - 90,
      REGEXMATCH(
        "","" &amp; SUBSTITUTE(Events!$G$2:$G1000, "" "", """") &amp; "","",
        "","" &amp; SUBSTITUTE($C432, "" "", """") &amp; """&amp;",""
      )
    )
  ),
0)
)"),"")</f>
        <v/>
      </c>
      <c r="K432" s="7" t="str">
        <f t="shared" si="2"/>
        <v>#N/A</v>
      </c>
    </row>
    <row r="433">
      <c r="C433" s="6" t="str">
        <f t="shared" si="1"/>
        <v/>
      </c>
      <c r="J433" s="7" t="str">
        <f>IFERROR(__xludf.DUMMYFUNCTION("IF($C433 = """", """", IFNA(
  ROWS(
    FILTER(
      Events!$G$2:$G1000,
      Events!$B$2:$B1000 &gt;= TODAY() - 90,
      REGEXMATCH(
        "","" &amp; SUBSTITUTE(Events!$G$2:$G1000, "" "", """") &amp; "","",
        "","" &amp; SUBSTITUTE($C433, "" "", """") &amp; """&amp;",""
      )
    )
  ),
0)
)"),"")</f>
        <v/>
      </c>
      <c r="K433" s="7" t="str">
        <f t="shared" si="2"/>
        <v>#N/A</v>
      </c>
    </row>
    <row r="434">
      <c r="C434" s="6" t="str">
        <f t="shared" si="1"/>
        <v/>
      </c>
      <c r="J434" s="7" t="str">
        <f>IFERROR(__xludf.DUMMYFUNCTION("IF($C434 = """", """", IFNA(
  ROWS(
    FILTER(
      Events!$G$2:$G1000,
      Events!$B$2:$B1000 &gt;= TODAY() - 90,
      REGEXMATCH(
        "","" &amp; SUBSTITUTE(Events!$G$2:$G1000, "" "", """") &amp; "","",
        "","" &amp; SUBSTITUTE($C434, "" "", """") &amp; """&amp;",""
      )
    )
  ),
0)
)"),"")</f>
        <v/>
      </c>
      <c r="K434" s="7" t="str">
        <f t="shared" si="2"/>
        <v>#N/A</v>
      </c>
    </row>
    <row r="435">
      <c r="C435" s="6" t="str">
        <f t="shared" si="1"/>
        <v/>
      </c>
      <c r="J435" s="7" t="str">
        <f>IFERROR(__xludf.DUMMYFUNCTION("IF($C435 = """", """", IFNA(
  ROWS(
    FILTER(
      Events!$G$2:$G1000,
      Events!$B$2:$B1000 &gt;= TODAY() - 90,
      REGEXMATCH(
        "","" &amp; SUBSTITUTE(Events!$G$2:$G1000, "" "", """") &amp; "","",
        "","" &amp; SUBSTITUTE($C435, "" "", """") &amp; """&amp;",""
      )
    )
  ),
0)
)"),"")</f>
        <v/>
      </c>
      <c r="K435" s="7" t="str">
        <f t="shared" si="2"/>
        <v>#N/A</v>
      </c>
    </row>
    <row r="436">
      <c r="C436" s="6" t="str">
        <f t="shared" si="1"/>
        <v/>
      </c>
      <c r="J436" s="7" t="str">
        <f>IFERROR(__xludf.DUMMYFUNCTION("IF($C436 = """", """", IFNA(
  ROWS(
    FILTER(
      Events!$G$2:$G1000,
      Events!$B$2:$B1000 &gt;= TODAY() - 90,
      REGEXMATCH(
        "","" &amp; SUBSTITUTE(Events!$G$2:$G1000, "" "", """") &amp; "","",
        "","" &amp; SUBSTITUTE($C436, "" "", """") &amp; """&amp;",""
      )
    )
  ),
0)
)"),"")</f>
        <v/>
      </c>
      <c r="K436" s="7" t="str">
        <f t="shared" si="2"/>
        <v>#N/A</v>
      </c>
    </row>
    <row r="437">
      <c r="C437" s="6" t="str">
        <f t="shared" si="1"/>
        <v/>
      </c>
      <c r="J437" s="7" t="str">
        <f>IFERROR(__xludf.DUMMYFUNCTION("IF($C437 = """", """", IFNA(
  ROWS(
    FILTER(
      Events!$G$2:$G1000,
      Events!$B$2:$B1000 &gt;= TODAY() - 90,
      REGEXMATCH(
        "","" &amp; SUBSTITUTE(Events!$G$2:$G1000, "" "", """") &amp; "","",
        "","" &amp; SUBSTITUTE($C437, "" "", """") &amp; """&amp;",""
      )
    )
  ),
0)
)"),"")</f>
        <v/>
      </c>
      <c r="K437" s="7" t="str">
        <f t="shared" si="2"/>
        <v>#N/A</v>
      </c>
    </row>
    <row r="438">
      <c r="C438" s="6" t="str">
        <f t="shared" si="1"/>
        <v/>
      </c>
      <c r="J438" s="7" t="str">
        <f>IFERROR(__xludf.DUMMYFUNCTION("IF($C438 = """", """", IFNA(
  ROWS(
    FILTER(
      Events!$G$2:$G1000,
      Events!$B$2:$B1000 &gt;= TODAY() - 90,
      REGEXMATCH(
        "","" &amp; SUBSTITUTE(Events!$G$2:$G1000, "" "", """") &amp; "","",
        "","" &amp; SUBSTITUTE($C438, "" "", """") &amp; """&amp;",""
      )
    )
  ),
0)
)"),"")</f>
        <v/>
      </c>
      <c r="K438" s="7" t="str">
        <f t="shared" si="2"/>
        <v>#N/A</v>
      </c>
    </row>
    <row r="439">
      <c r="C439" s="6" t="str">
        <f t="shared" si="1"/>
        <v/>
      </c>
      <c r="J439" s="7" t="str">
        <f>IFERROR(__xludf.DUMMYFUNCTION("IF($C439 = """", """", IFNA(
  ROWS(
    FILTER(
      Events!$G$2:$G1000,
      Events!$B$2:$B1000 &gt;= TODAY() - 90,
      REGEXMATCH(
        "","" &amp; SUBSTITUTE(Events!$G$2:$G1000, "" "", """") &amp; "","",
        "","" &amp; SUBSTITUTE($C439, "" "", """") &amp; """&amp;",""
      )
    )
  ),
0)
)"),"")</f>
        <v/>
      </c>
      <c r="K439" s="7" t="str">
        <f t="shared" si="2"/>
        <v>#N/A</v>
      </c>
    </row>
    <row r="440">
      <c r="C440" s="6" t="str">
        <f t="shared" si="1"/>
        <v/>
      </c>
      <c r="J440" s="7" t="str">
        <f>IFERROR(__xludf.DUMMYFUNCTION("IF($C440 = """", """", IFNA(
  ROWS(
    FILTER(
      Events!$G$2:$G1000,
      Events!$B$2:$B1000 &gt;= TODAY() - 90,
      REGEXMATCH(
        "","" &amp; SUBSTITUTE(Events!$G$2:$G1000, "" "", """") &amp; "","",
        "","" &amp; SUBSTITUTE($C440, "" "", """") &amp; """&amp;",""
      )
    )
  ),
0)
)"),"")</f>
        <v/>
      </c>
      <c r="K440" s="7" t="str">
        <f t="shared" si="2"/>
        <v>#N/A</v>
      </c>
    </row>
    <row r="441">
      <c r="C441" s="6" t="str">
        <f t="shared" si="1"/>
        <v/>
      </c>
      <c r="J441" s="7" t="str">
        <f>IFERROR(__xludf.DUMMYFUNCTION("IF($C441 = """", """", IFNA(
  ROWS(
    FILTER(
      Events!$G$2:$G1000,
      Events!$B$2:$B1000 &gt;= TODAY() - 90,
      REGEXMATCH(
        "","" &amp; SUBSTITUTE(Events!$G$2:$G1000, "" "", """") &amp; "","",
        "","" &amp; SUBSTITUTE($C441, "" "", """") &amp; """&amp;",""
      )
    )
  ),
0)
)"),"")</f>
        <v/>
      </c>
      <c r="K441" s="7" t="str">
        <f t="shared" si="2"/>
        <v>#N/A</v>
      </c>
    </row>
    <row r="442">
      <c r="C442" s="6" t="str">
        <f t="shared" si="1"/>
        <v/>
      </c>
      <c r="J442" s="7" t="str">
        <f>IFERROR(__xludf.DUMMYFUNCTION("IF($C442 = """", """", IFNA(
  ROWS(
    FILTER(
      Events!$G$2:$G1000,
      Events!$B$2:$B1000 &gt;= TODAY() - 90,
      REGEXMATCH(
        "","" &amp; SUBSTITUTE(Events!$G$2:$G1000, "" "", """") &amp; "","",
        "","" &amp; SUBSTITUTE($C442, "" "", """") &amp; """&amp;",""
      )
    )
  ),
0)
)"),"")</f>
        <v/>
      </c>
      <c r="K442" s="7" t="str">
        <f t="shared" si="2"/>
        <v>#N/A</v>
      </c>
    </row>
    <row r="443">
      <c r="C443" s="6" t="str">
        <f t="shared" si="1"/>
        <v/>
      </c>
      <c r="J443" s="7" t="str">
        <f>IFERROR(__xludf.DUMMYFUNCTION("IF($C443 = """", """", IFNA(
  ROWS(
    FILTER(
      Events!$G$2:$G1000,
      Events!$B$2:$B1000 &gt;= TODAY() - 90,
      REGEXMATCH(
        "","" &amp; SUBSTITUTE(Events!$G$2:$G1000, "" "", """") &amp; "","",
        "","" &amp; SUBSTITUTE($C443, "" "", """") &amp; """&amp;",""
      )
    )
  ),
0)
)"),"")</f>
        <v/>
      </c>
      <c r="K443" s="7" t="str">
        <f t="shared" si="2"/>
        <v>#N/A</v>
      </c>
    </row>
    <row r="444">
      <c r="C444" s="6" t="str">
        <f t="shared" si="1"/>
        <v/>
      </c>
      <c r="J444" s="7" t="str">
        <f>IFERROR(__xludf.DUMMYFUNCTION("IF($C444 = """", """", IFNA(
  ROWS(
    FILTER(
      Events!$G$2:$G1000,
      Events!$B$2:$B1000 &gt;= TODAY() - 90,
      REGEXMATCH(
        "","" &amp; SUBSTITUTE(Events!$G$2:$G1000, "" "", """") &amp; "","",
        "","" &amp; SUBSTITUTE($C444, "" "", """") &amp; """&amp;",""
      )
    )
  ),
0)
)"),"")</f>
        <v/>
      </c>
      <c r="K444" s="7" t="str">
        <f t="shared" si="2"/>
        <v>#N/A</v>
      </c>
    </row>
    <row r="445">
      <c r="C445" s="6" t="str">
        <f t="shared" si="1"/>
        <v/>
      </c>
      <c r="J445" s="7" t="str">
        <f>IFERROR(__xludf.DUMMYFUNCTION("IF($C445 = """", """", IFNA(
  ROWS(
    FILTER(
      Events!$G$2:$G1000,
      Events!$B$2:$B1000 &gt;= TODAY() - 90,
      REGEXMATCH(
        "","" &amp; SUBSTITUTE(Events!$G$2:$G1000, "" "", """") &amp; "","",
        "","" &amp; SUBSTITUTE($C445, "" "", """") &amp; """&amp;",""
      )
    )
  ),
0)
)"),"")</f>
        <v/>
      </c>
      <c r="K445" s="7" t="str">
        <f t="shared" si="2"/>
        <v>#N/A</v>
      </c>
    </row>
    <row r="446">
      <c r="C446" s="6" t="str">
        <f t="shared" si="1"/>
        <v/>
      </c>
      <c r="J446" s="7" t="str">
        <f>IFERROR(__xludf.DUMMYFUNCTION("IF($C446 = """", """", IFNA(
  ROWS(
    FILTER(
      Events!$G$2:$G1000,
      Events!$B$2:$B1000 &gt;= TODAY() - 90,
      REGEXMATCH(
        "","" &amp; SUBSTITUTE(Events!$G$2:$G1000, "" "", """") &amp; "","",
        "","" &amp; SUBSTITUTE($C446, "" "", """") &amp; """&amp;",""
      )
    )
  ),
0)
)"),"")</f>
        <v/>
      </c>
      <c r="K446" s="7" t="str">
        <f t="shared" si="2"/>
        <v>#N/A</v>
      </c>
    </row>
    <row r="447">
      <c r="C447" s="6" t="str">
        <f t="shared" si="1"/>
        <v/>
      </c>
      <c r="J447" s="7" t="str">
        <f>IFERROR(__xludf.DUMMYFUNCTION("IF($C447 = """", """", IFNA(
  ROWS(
    FILTER(
      Events!$G$2:$G1000,
      Events!$B$2:$B1000 &gt;= TODAY() - 90,
      REGEXMATCH(
        "","" &amp; SUBSTITUTE(Events!$G$2:$G1000, "" "", """") &amp; "","",
        "","" &amp; SUBSTITUTE($C447, "" "", """") &amp; """&amp;",""
      )
    )
  ),
0)
)"),"")</f>
        <v/>
      </c>
      <c r="K447" s="7" t="str">
        <f t="shared" si="2"/>
        <v>#N/A</v>
      </c>
    </row>
    <row r="448">
      <c r="C448" s="6" t="str">
        <f t="shared" si="1"/>
        <v/>
      </c>
      <c r="J448" s="7" t="str">
        <f>IFERROR(__xludf.DUMMYFUNCTION("IF($C448 = """", """", IFNA(
  ROWS(
    FILTER(
      Events!$G$2:$G1000,
      Events!$B$2:$B1000 &gt;= TODAY() - 90,
      REGEXMATCH(
        "","" &amp; SUBSTITUTE(Events!$G$2:$G1000, "" "", """") &amp; "","",
        "","" &amp; SUBSTITUTE($C448, "" "", """") &amp; """&amp;",""
      )
    )
  ),
0)
)"),"")</f>
        <v/>
      </c>
      <c r="K448" s="7" t="str">
        <f t="shared" si="2"/>
        <v>#N/A</v>
      </c>
    </row>
    <row r="449">
      <c r="C449" s="6" t="str">
        <f t="shared" si="1"/>
        <v/>
      </c>
      <c r="J449" s="7" t="str">
        <f>IFERROR(__xludf.DUMMYFUNCTION("IF($C449 = """", """", IFNA(
  ROWS(
    FILTER(
      Events!$G$2:$G1000,
      Events!$B$2:$B1000 &gt;= TODAY() - 90,
      REGEXMATCH(
        "","" &amp; SUBSTITUTE(Events!$G$2:$G1000, "" "", """") &amp; "","",
        "","" &amp; SUBSTITUTE($C449, "" "", """") &amp; """&amp;",""
      )
    )
  ),
0)
)"),"")</f>
        <v/>
      </c>
      <c r="K449" s="7" t="str">
        <f t="shared" si="2"/>
        <v>#N/A</v>
      </c>
    </row>
    <row r="450">
      <c r="C450" s="6" t="str">
        <f t="shared" si="1"/>
        <v/>
      </c>
      <c r="J450" s="7" t="str">
        <f>IFERROR(__xludf.DUMMYFUNCTION("IF($C450 = """", """", IFNA(
  ROWS(
    FILTER(
      Events!$G$2:$G1000,
      Events!$B$2:$B1000 &gt;= TODAY() - 90,
      REGEXMATCH(
        "","" &amp; SUBSTITUTE(Events!$G$2:$G1000, "" "", """") &amp; "","",
        "","" &amp; SUBSTITUTE($C450, "" "", """") &amp; """&amp;",""
      )
    )
  ),
0)
)"),"")</f>
        <v/>
      </c>
      <c r="K450" s="7" t="str">
        <f t="shared" si="2"/>
        <v>#N/A</v>
      </c>
    </row>
    <row r="451">
      <c r="C451" s="6" t="str">
        <f t="shared" si="1"/>
        <v/>
      </c>
      <c r="J451" s="7" t="str">
        <f>IFERROR(__xludf.DUMMYFUNCTION("IF($C451 = """", """", IFNA(
  ROWS(
    FILTER(
      Events!$G$2:$G1000,
      Events!$B$2:$B1000 &gt;= TODAY() - 90,
      REGEXMATCH(
        "","" &amp; SUBSTITUTE(Events!$G$2:$G1000, "" "", """") &amp; "","",
        "","" &amp; SUBSTITUTE($C451, "" "", """") &amp; """&amp;",""
      )
    )
  ),
0)
)"),"")</f>
        <v/>
      </c>
      <c r="K451" s="7" t="str">
        <f t="shared" si="2"/>
        <v>#N/A</v>
      </c>
    </row>
    <row r="452">
      <c r="C452" s="6" t="str">
        <f t="shared" si="1"/>
        <v/>
      </c>
      <c r="J452" s="7" t="str">
        <f>IFERROR(__xludf.DUMMYFUNCTION("IF($C452 = """", """", IFNA(
  ROWS(
    FILTER(
      Events!$G$2:$G1000,
      Events!$B$2:$B1000 &gt;= TODAY() - 90,
      REGEXMATCH(
        "","" &amp; SUBSTITUTE(Events!$G$2:$G1000, "" "", """") &amp; "","",
        "","" &amp; SUBSTITUTE($C452, "" "", """") &amp; """&amp;",""
      )
    )
  ),
0)
)"),"")</f>
        <v/>
      </c>
      <c r="K452" s="7" t="str">
        <f t="shared" si="2"/>
        <v>#N/A</v>
      </c>
    </row>
    <row r="453">
      <c r="C453" s="6" t="str">
        <f t="shared" si="1"/>
        <v/>
      </c>
      <c r="J453" s="7" t="str">
        <f>IFERROR(__xludf.DUMMYFUNCTION("IF($C453 = """", """", IFNA(
  ROWS(
    FILTER(
      Events!$G$2:$G1000,
      Events!$B$2:$B1000 &gt;= TODAY() - 90,
      REGEXMATCH(
        "","" &amp; SUBSTITUTE(Events!$G$2:$G1000, "" "", """") &amp; "","",
        "","" &amp; SUBSTITUTE($C453, "" "", """") &amp; """&amp;",""
      )
    )
  ),
0)
)"),"")</f>
        <v/>
      </c>
      <c r="K453" s="7" t="str">
        <f t="shared" si="2"/>
        <v>#N/A</v>
      </c>
    </row>
    <row r="454">
      <c r="C454" s="6" t="str">
        <f t="shared" si="1"/>
        <v/>
      </c>
      <c r="J454" s="7" t="str">
        <f>IFERROR(__xludf.DUMMYFUNCTION("IF($C454 = """", """", IFNA(
  ROWS(
    FILTER(
      Events!$G$2:$G1000,
      Events!$B$2:$B1000 &gt;= TODAY() - 90,
      REGEXMATCH(
        "","" &amp; SUBSTITUTE(Events!$G$2:$G1000, "" "", """") &amp; "","",
        "","" &amp; SUBSTITUTE($C454, "" "", """") &amp; """&amp;",""
      )
    )
  ),
0)
)"),"")</f>
        <v/>
      </c>
      <c r="K454" s="7" t="str">
        <f t="shared" si="2"/>
        <v>#N/A</v>
      </c>
    </row>
    <row r="455">
      <c r="C455" s="6" t="str">
        <f t="shared" si="1"/>
        <v/>
      </c>
      <c r="J455" s="7" t="str">
        <f>IFERROR(__xludf.DUMMYFUNCTION("IF($C455 = """", """", IFNA(
  ROWS(
    FILTER(
      Events!$G$2:$G1000,
      Events!$B$2:$B1000 &gt;= TODAY() - 90,
      REGEXMATCH(
        "","" &amp; SUBSTITUTE(Events!$G$2:$G1000, "" "", """") &amp; "","",
        "","" &amp; SUBSTITUTE($C455, "" "", """") &amp; """&amp;",""
      )
    )
  ),
0)
)"),"")</f>
        <v/>
      </c>
      <c r="K455" s="7" t="str">
        <f t="shared" si="2"/>
        <v>#N/A</v>
      </c>
    </row>
    <row r="456">
      <c r="C456" s="6" t="str">
        <f t="shared" si="1"/>
        <v/>
      </c>
      <c r="J456" s="7" t="str">
        <f>IFERROR(__xludf.DUMMYFUNCTION("IF($C456 = """", """", IFNA(
  ROWS(
    FILTER(
      Events!$G$2:$G1000,
      Events!$B$2:$B1000 &gt;= TODAY() - 90,
      REGEXMATCH(
        "","" &amp; SUBSTITUTE(Events!$G$2:$G1000, "" "", """") &amp; "","",
        "","" &amp; SUBSTITUTE($C456, "" "", """") &amp; """&amp;",""
      )
    )
  ),
0)
)"),"")</f>
        <v/>
      </c>
      <c r="K456" s="7" t="str">
        <f t="shared" si="2"/>
        <v>#N/A</v>
      </c>
    </row>
    <row r="457">
      <c r="C457" s="6" t="str">
        <f t="shared" si="1"/>
        <v/>
      </c>
      <c r="J457" s="7" t="str">
        <f>IFERROR(__xludf.DUMMYFUNCTION("IF($C457 = """", """", IFNA(
  ROWS(
    FILTER(
      Events!$G$2:$G1000,
      Events!$B$2:$B1000 &gt;= TODAY() - 90,
      REGEXMATCH(
        "","" &amp; SUBSTITUTE(Events!$G$2:$G1000, "" "", """") &amp; "","",
        "","" &amp; SUBSTITUTE($C457, "" "", """") &amp; """&amp;",""
      )
    )
  ),
0)
)"),"")</f>
        <v/>
      </c>
      <c r="K457" s="7" t="str">
        <f t="shared" si="2"/>
        <v>#N/A</v>
      </c>
    </row>
    <row r="458">
      <c r="C458" s="6" t="str">
        <f t="shared" si="1"/>
        <v/>
      </c>
      <c r="J458" s="7" t="str">
        <f>IFERROR(__xludf.DUMMYFUNCTION("IF($C458 = """", """", IFNA(
  ROWS(
    FILTER(
      Events!$G$2:$G1000,
      Events!$B$2:$B1000 &gt;= TODAY() - 90,
      REGEXMATCH(
        "","" &amp; SUBSTITUTE(Events!$G$2:$G1000, "" "", """") &amp; "","",
        "","" &amp; SUBSTITUTE($C458, "" "", """") &amp; """&amp;",""
      )
    )
  ),
0)
)"),"")</f>
        <v/>
      </c>
      <c r="K458" s="7" t="str">
        <f t="shared" si="2"/>
        <v>#N/A</v>
      </c>
    </row>
    <row r="459">
      <c r="C459" s="6" t="str">
        <f t="shared" si="1"/>
        <v/>
      </c>
      <c r="J459" s="7" t="str">
        <f>IFERROR(__xludf.DUMMYFUNCTION("IF($C459 = """", """", IFNA(
  ROWS(
    FILTER(
      Events!$G$2:$G1000,
      Events!$B$2:$B1000 &gt;= TODAY() - 90,
      REGEXMATCH(
        "","" &amp; SUBSTITUTE(Events!$G$2:$G1000, "" "", """") &amp; "","",
        "","" &amp; SUBSTITUTE($C459, "" "", """") &amp; """&amp;",""
      )
    )
  ),
0)
)"),"")</f>
        <v/>
      </c>
      <c r="K459" s="7" t="str">
        <f t="shared" si="2"/>
        <v>#N/A</v>
      </c>
    </row>
    <row r="460">
      <c r="C460" s="6" t="str">
        <f t="shared" si="1"/>
        <v/>
      </c>
      <c r="J460" s="7" t="str">
        <f>IFERROR(__xludf.DUMMYFUNCTION("IF($C460 = """", """", IFNA(
  ROWS(
    FILTER(
      Events!$G$2:$G1000,
      Events!$B$2:$B1000 &gt;= TODAY() - 90,
      REGEXMATCH(
        "","" &amp; SUBSTITUTE(Events!$G$2:$G1000, "" "", """") &amp; "","",
        "","" &amp; SUBSTITUTE($C460, "" "", """") &amp; """&amp;",""
      )
    )
  ),
0)
)"),"")</f>
        <v/>
      </c>
      <c r="K460" s="7" t="str">
        <f t="shared" si="2"/>
        <v>#N/A</v>
      </c>
    </row>
    <row r="461">
      <c r="C461" s="6" t="str">
        <f t="shared" si="1"/>
        <v/>
      </c>
      <c r="J461" s="7" t="str">
        <f>IFERROR(__xludf.DUMMYFUNCTION("IF($C461 = """", """", IFNA(
  ROWS(
    FILTER(
      Events!$G$2:$G1000,
      Events!$B$2:$B1000 &gt;= TODAY() - 90,
      REGEXMATCH(
        "","" &amp; SUBSTITUTE(Events!$G$2:$G1000, "" "", """") &amp; "","",
        "","" &amp; SUBSTITUTE($C461, "" "", """") &amp; """&amp;",""
      )
    )
  ),
0)
)"),"")</f>
        <v/>
      </c>
      <c r="K461" s="7" t="str">
        <f t="shared" si="2"/>
        <v>#N/A</v>
      </c>
    </row>
    <row r="462">
      <c r="C462" s="6" t="str">
        <f t="shared" si="1"/>
        <v/>
      </c>
      <c r="J462" s="7" t="str">
        <f>IFERROR(__xludf.DUMMYFUNCTION("IF($C462 = """", """", IFNA(
  ROWS(
    FILTER(
      Events!$G$2:$G1000,
      Events!$B$2:$B1000 &gt;= TODAY() - 90,
      REGEXMATCH(
        "","" &amp; SUBSTITUTE(Events!$G$2:$G1000, "" "", """") &amp; "","",
        "","" &amp; SUBSTITUTE($C462, "" "", """") &amp; """&amp;",""
      )
    )
  ),
0)
)"),"")</f>
        <v/>
      </c>
      <c r="K462" s="7" t="str">
        <f t="shared" si="2"/>
        <v>#N/A</v>
      </c>
    </row>
    <row r="463">
      <c r="C463" s="6" t="str">
        <f t="shared" si="1"/>
        <v/>
      </c>
      <c r="J463" s="7" t="str">
        <f>IFERROR(__xludf.DUMMYFUNCTION("IF($C463 = """", """", IFNA(
  ROWS(
    FILTER(
      Events!$G$2:$G1000,
      Events!$B$2:$B1000 &gt;= TODAY() - 90,
      REGEXMATCH(
        "","" &amp; SUBSTITUTE(Events!$G$2:$G1000, "" "", """") &amp; "","",
        "","" &amp; SUBSTITUTE($C463, "" "", """") &amp; """&amp;",""
      )
    )
  ),
0)
)"),"")</f>
        <v/>
      </c>
      <c r="K463" s="7" t="str">
        <f t="shared" si="2"/>
        <v>#N/A</v>
      </c>
    </row>
    <row r="464">
      <c r="C464" s="6" t="str">
        <f t="shared" si="1"/>
        <v/>
      </c>
      <c r="J464" s="7" t="str">
        <f>IFERROR(__xludf.DUMMYFUNCTION("IF($C464 = """", """", IFNA(
  ROWS(
    FILTER(
      Events!$G$2:$G1000,
      Events!$B$2:$B1000 &gt;= TODAY() - 90,
      REGEXMATCH(
        "","" &amp; SUBSTITUTE(Events!$G$2:$G1000, "" "", """") &amp; "","",
        "","" &amp; SUBSTITUTE($C464, "" "", """") &amp; """&amp;",""
      )
    )
  ),
0)
)"),"")</f>
        <v/>
      </c>
      <c r="K464" s="7" t="str">
        <f t="shared" si="2"/>
        <v>#N/A</v>
      </c>
    </row>
    <row r="465">
      <c r="C465" s="6" t="str">
        <f t="shared" si="1"/>
        <v/>
      </c>
      <c r="J465" s="7" t="str">
        <f>IFERROR(__xludf.DUMMYFUNCTION("IF($C465 = """", """", IFNA(
  ROWS(
    FILTER(
      Events!$G$2:$G1000,
      Events!$B$2:$B1000 &gt;= TODAY() - 90,
      REGEXMATCH(
        "","" &amp; SUBSTITUTE(Events!$G$2:$G1000, "" "", """") &amp; "","",
        "","" &amp; SUBSTITUTE($C465, "" "", """") &amp; """&amp;",""
      )
    )
  ),
0)
)"),"")</f>
        <v/>
      </c>
      <c r="K465" s="7" t="str">
        <f t="shared" si="2"/>
        <v>#N/A</v>
      </c>
    </row>
    <row r="466">
      <c r="C466" s="6" t="str">
        <f t="shared" si="1"/>
        <v/>
      </c>
      <c r="J466" s="7" t="str">
        <f>IFERROR(__xludf.DUMMYFUNCTION("IF($C466 = """", """", IFNA(
  ROWS(
    FILTER(
      Events!$G$2:$G1000,
      Events!$B$2:$B1000 &gt;= TODAY() - 90,
      REGEXMATCH(
        "","" &amp; SUBSTITUTE(Events!$G$2:$G1000, "" "", """") &amp; "","",
        "","" &amp; SUBSTITUTE($C466, "" "", """") &amp; """&amp;",""
      )
    )
  ),
0)
)"),"")</f>
        <v/>
      </c>
      <c r="K466" s="7" t="str">
        <f t="shared" si="2"/>
        <v>#N/A</v>
      </c>
    </row>
    <row r="467">
      <c r="C467" s="6" t="str">
        <f t="shared" si="1"/>
        <v/>
      </c>
      <c r="J467" s="7" t="str">
        <f>IFERROR(__xludf.DUMMYFUNCTION("IF($C467 = """", """", IFNA(
  ROWS(
    FILTER(
      Events!$G$2:$G1000,
      Events!$B$2:$B1000 &gt;= TODAY() - 90,
      REGEXMATCH(
        "","" &amp; SUBSTITUTE(Events!$G$2:$G1000, "" "", """") &amp; "","",
        "","" &amp; SUBSTITUTE($C467, "" "", """") &amp; """&amp;",""
      )
    )
  ),
0)
)"),"")</f>
        <v/>
      </c>
      <c r="K467" s="7" t="str">
        <f t="shared" si="2"/>
        <v>#N/A</v>
      </c>
    </row>
    <row r="468">
      <c r="C468" s="6" t="str">
        <f t="shared" si="1"/>
        <v/>
      </c>
      <c r="J468" s="7" t="str">
        <f>IFERROR(__xludf.DUMMYFUNCTION("IF($C468 = """", """", IFNA(
  ROWS(
    FILTER(
      Events!$G$2:$G1000,
      Events!$B$2:$B1000 &gt;= TODAY() - 90,
      REGEXMATCH(
        "","" &amp; SUBSTITUTE(Events!$G$2:$G1000, "" "", """") &amp; "","",
        "","" &amp; SUBSTITUTE($C468, "" "", """") &amp; """&amp;",""
      )
    )
  ),
0)
)"),"")</f>
        <v/>
      </c>
      <c r="K468" s="7" t="str">
        <f t="shared" si="2"/>
        <v>#N/A</v>
      </c>
    </row>
    <row r="469">
      <c r="C469" s="6" t="str">
        <f t="shared" si="1"/>
        <v/>
      </c>
      <c r="J469" s="7" t="str">
        <f>IFERROR(__xludf.DUMMYFUNCTION("IF($C469 = """", """", IFNA(
  ROWS(
    FILTER(
      Events!$G$2:$G1000,
      Events!$B$2:$B1000 &gt;= TODAY() - 90,
      REGEXMATCH(
        "","" &amp; SUBSTITUTE(Events!$G$2:$G1000, "" "", """") &amp; "","",
        "","" &amp; SUBSTITUTE($C469, "" "", """") &amp; """&amp;",""
      )
    )
  ),
0)
)"),"")</f>
        <v/>
      </c>
      <c r="K469" s="7" t="str">
        <f t="shared" si="2"/>
        <v>#N/A</v>
      </c>
    </row>
    <row r="470">
      <c r="C470" s="6" t="str">
        <f t="shared" si="1"/>
        <v/>
      </c>
      <c r="J470" s="7" t="str">
        <f>IFERROR(__xludf.DUMMYFUNCTION("IF($C470 = """", """", IFNA(
  ROWS(
    FILTER(
      Events!$G$2:$G1000,
      Events!$B$2:$B1000 &gt;= TODAY() - 90,
      REGEXMATCH(
        "","" &amp; SUBSTITUTE(Events!$G$2:$G1000, "" "", """") &amp; "","",
        "","" &amp; SUBSTITUTE($C470, "" "", """") &amp; """&amp;",""
      )
    )
  ),
0)
)"),"")</f>
        <v/>
      </c>
      <c r="K470" s="7" t="str">
        <f t="shared" si="2"/>
        <v>#N/A</v>
      </c>
    </row>
    <row r="471">
      <c r="C471" s="6" t="str">
        <f t="shared" si="1"/>
        <v/>
      </c>
      <c r="J471" s="7" t="str">
        <f>IFERROR(__xludf.DUMMYFUNCTION("IF($C471 = """", """", IFNA(
  ROWS(
    FILTER(
      Events!$G$2:$G1000,
      Events!$B$2:$B1000 &gt;= TODAY() - 90,
      REGEXMATCH(
        "","" &amp; SUBSTITUTE(Events!$G$2:$G1000, "" "", """") &amp; "","",
        "","" &amp; SUBSTITUTE($C471, "" "", """") &amp; """&amp;",""
      )
    )
  ),
0)
)"),"")</f>
        <v/>
      </c>
      <c r="K471" s="7" t="str">
        <f t="shared" si="2"/>
        <v>#N/A</v>
      </c>
    </row>
    <row r="472">
      <c r="C472" s="6" t="str">
        <f t="shared" si="1"/>
        <v/>
      </c>
      <c r="J472" s="7" t="str">
        <f>IFERROR(__xludf.DUMMYFUNCTION("IF($C472 = """", """", IFNA(
  ROWS(
    FILTER(
      Events!$G$2:$G1000,
      Events!$B$2:$B1000 &gt;= TODAY() - 90,
      REGEXMATCH(
        "","" &amp; SUBSTITUTE(Events!$G$2:$G1000, "" "", """") &amp; "","",
        "","" &amp; SUBSTITUTE($C472, "" "", """") &amp; """&amp;",""
      )
    )
  ),
0)
)"),"")</f>
        <v/>
      </c>
      <c r="K472" s="7" t="str">
        <f t="shared" si="2"/>
        <v>#N/A</v>
      </c>
    </row>
    <row r="473">
      <c r="C473" s="6" t="str">
        <f t="shared" si="1"/>
        <v/>
      </c>
      <c r="J473" s="7" t="str">
        <f>IFERROR(__xludf.DUMMYFUNCTION("IF($C473 = """", """", IFNA(
  ROWS(
    FILTER(
      Events!$G$2:$G1000,
      Events!$B$2:$B1000 &gt;= TODAY() - 90,
      REGEXMATCH(
        "","" &amp; SUBSTITUTE(Events!$G$2:$G1000, "" "", """") &amp; "","",
        "","" &amp; SUBSTITUTE($C473, "" "", """") &amp; """&amp;",""
      )
    )
  ),
0)
)"),"")</f>
        <v/>
      </c>
      <c r="K473" s="7" t="str">
        <f t="shared" si="2"/>
        <v>#N/A</v>
      </c>
    </row>
    <row r="474">
      <c r="C474" s="6" t="str">
        <f t="shared" si="1"/>
        <v/>
      </c>
      <c r="J474" s="7" t="str">
        <f>IFERROR(__xludf.DUMMYFUNCTION("IF($C474 = """", """", IFNA(
  ROWS(
    FILTER(
      Events!$G$2:$G1000,
      Events!$B$2:$B1000 &gt;= TODAY() - 90,
      REGEXMATCH(
        "","" &amp; SUBSTITUTE(Events!$G$2:$G1000, "" "", """") &amp; "","",
        "","" &amp; SUBSTITUTE($C474, "" "", """") &amp; """&amp;",""
      )
    )
  ),
0)
)"),"")</f>
        <v/>
      </c>
      <c r="K474" s="7" t="str">
        <f t="shared" si="2"/>
        <v>#N/A</v>
      </c>
    </row>
    <row r="475">
      <c r="C475" s="6" t="str">
        <f t="shared" si="1"/>
        <v/>
      </c>
      <c r="J475" s="7" t="str">
        <f>IFERROR(__xludf.DUMMYFUNCTION("IF($C475 = """", """", IFNA(
  ROWS(
    FILTER(
      Events!$G$2:$G1000,
      Events!$B$2:$B1000 &gt;= TODAY() - 90,
      REGEXMATCH(
        "","" &amp; SUBSTITUTE(Events!$G$2:$G1000, "" "", """") &amp; "","",
        "","" &amp; SUBSTITUTE($C475, "" "", """") &amp; """&amp;",""
      )
    )
  ),
0)
)"),"")</f>
        <v/>
      </c>
      <c r="K475" s="7" t="str">
        <f t="shared" si="2"/>
        <v>#N/A</v>
      </c>
    </row>
    <row r="476">
      <c r="C476" s="6" t="str">
        <f t="shared" si="1"/>
        <v/>
      </c>
      <c r="J476" s="7" t="str">
        <f>IFERROR(__xludf.DUMMYFUNCTION("IF($C476 = """", """", IFNA(
  ROWS(
    FILTER(
      Events!$G$2:$G1000,
      Events!$B$2:$B1000 &gt;= TODAY() - 90,
      REGEXMATCH(
        "","" &amp; SUBSTITUTE(Events!$G$2:$G1000, "" "", """") &amp; "","",
        "","" &amp; SUBSTITUTE($C476, "" "", """") &amp; """&amp;",""
      )
    )
  ),
0)
)"),"")</f>
        <v/>
      </c>
      <c r="K476" s="7" t="str">
        <f t="shared" si="2"/>
        <v>#N/A</v>
      </c>
    </row>
    <row r="477">
      <c r="C477" s="6" t="str">
        <f t="shared" si="1"/>
        <v/>
      </c>
      <c r="J477" s="7" t="str">
        <f>IFERROR(__xludf.DUMMYFUNCTION("IF($C477 = """", """", IFNA(
  ROWS(
    FILTER(
      Events!$G$2:$G1000,
      Events!$B$2:$B1000 &gt;= TODAY() - 90,
      REGEXMATCH(
        "","" &amp; SUBSTITUTE(Events!$G$2:$G1000, "" "", """") &amp; "","",
        "","" &amp; SUBSTITUTE($C477, "" "", """") &amp; """&amp;",""
      )
    )
  ),
0)
)"),"")</f>
        <v/>
      </c>
      <c r="K477" s="7" t="str">
        <f t="shared" si="2"/>
        <v>#N/A</v>
      </c>
    </row>
    <row r="478">
      <c r="C478" s="6" t="str">
        <f t="shared" si="1"/>
        <v/>
      </c>
      <c r="J478" s="7" t="str">
        <f>IFERROR(__xludf.DUMMYFUNCTION("IF($C478 = """", """", IFNA(
  ROWS(
    FILTER(
      Events!$G$2:$G1000,
      Events!$B$2:$B1000 &gt;= TODAY() - 90,
      REGEXMATCH(
        "","" &amp; SUBSTITUTE(Events!$G$2:$G1000, "" "", """") &amp; "","",
        "","" &amp; SUBSTITUTE($C478, "" "", """") &amp; """&amp;",""
      )
    )
  ),
0)
)"),"")</f>
        <v/>
      </c>
      <c r="K478" s="7" t="str">
        <f t="shared" si="2"/>
        <v>#N/A</v>
      </c>
    </row>
    <row r="479">
      <c r="C479" s="6" t="str">
        <f t="shared" si="1"/>
        <v/>
      </c>
      <c r="J479" s="7" t="str">
        <f>IFERROR(__xludf.DUMMYFUNCTION("IF($C479 = """", """", IFNA(
  ROWS(
    FILTER(
      Events!$G$2:$G1000,
      Events!$B$2:$B1000 &gt;= TODAY() - 90,
      REGEXMATCH(
        "","" &amp; SUBSTITUTE(Events!$G$2:$G1000, "" "", """") &amp; "","",
        "","" &amp; SUBSTITUTE($C479, "" "", """") &amp; """&amp;",""
      )
    )
  ),
0)
)"),"")</f>
        <v/>
      </c>
      <c r="K479" s="7" t="str">
        <f t="shared" si="2"/>
        <v>#N/A</v>
      </c>
    </row>
    <row r="480">
      <c r="C480" s="6" t="str">
        <f t="shared" si="1"/>
        <v/>
      </c>
      <c r="J480" s="7" t="str">
        <f>IFERROR(__xludf.DUMMYFUNCTION("IF($C480 = """", """", IFNA(
  ROWS(
    FILTER(
      Events!$G$2:$G1000,
      Events!$B$2:$B1000 &gt;= TODAY() - 90,
      REGEXMATCH(
        "","" &amp; SUBSTITUTE(Events!$G$2:$G1000, "" "", """") &amp; "","",
        "","" &amp; SUBSTITUTE($C480, "" "", """") &amp; """&amp;",""
      )
    )
  ),
0)
)"),"")</f>
        <v/>
      </c>
      <c r="K480" s="7" t="str">
        <f t="shared" si="2"/>
        <v>#N/A</v>
      </c>
    </row>
    <row r="481">
      <c r="C481" s="6" t="str">
        <f t="shared" si="1"/>
        <v/>
      </c>
      <c r="J481" s="7" t="str">
        <f>IFERROR(__xludf.DUMMYFUNCTION("IF($C481 = """", """", IFNA(
  ROWS(
    FILTER(
      Events!$G$2:$G1000,
      Events!$B$2:$B1000 &gt;= TODAY() - 90,
      REGEXMATCH(
        "","" &amp; SUBSTITUTE(Events!$G$2:$G1000, "" "", """") &amp; "","",
        "","" &amp; SUBSTITUTE($C481, "" "", """") &amp; """&amp;",""
      )
    )
  ),
0)
)"),"")</f>
        <v/>
      </c>
      <c r="K481" s="7" t="str">
        <f t="shared" si="2"/>
        <v>#N/A</v>
      </c>
    </row>
    <row r="482">
      <c r="C482" s="6" t="str">
        <f t="shared" si="1"/>
        <v/>
      </c>
      <c r="J482" s="7" t="str">
        <f>IFERROR(__xludf.DUMMYFUNCTION("IF($C482 = """", """", IFNA(
  ROWS(
    FILTER(
      Events!$G$2:$G1000,
      Events!$B$2:$B1000 &gt;= TODAY() - 90,
      REGEXMATCH(
        "","" &amp; SUBSTITUTE(Events!$G$2:$G1000, "" "", """") &amp; "","",
        "","" &amp; SUBSTITUTE($C482, "" "", """") &amp; """&amp;",""
      )
    )
  ),
0)
)"),"")</f>
        <v/>
      </c>
      <c r="K482" s="7" t="str">
        <f t="shared" si="2"/>
        <v>#N/A</v>
      </c>
    </row>
    <row r="483">
      <c r="C483" s="6" t="str">
        <f t="shared" si="1"/>
        <v/>
      </c>
      <c r="J483" s="7" t="str">
        <f>IFERROR(__xludf.DUMMYFUNCTION("IF($C483 = """", """", IFNA(
  ROWS(
    FILTER(
      Events!$G$2:$G1000,
      Events!$B$2:$B1000 &gt;= TODAY() - 90,
      REGEXMATCH(
        "","" &amp; SUBSTITUTE(Events!$G$2:$G1000, "" "", """") &amp; "","",
        "","" &amp; SUBSTITUTE($C483, "" "", """") &amp; """&amp;",""
      )
    )
  ),
0)
)"),"")</f>
        <v/>
      </c>
      <c r="K483" s="7" t="str">
        <f t="shared" si="2"/>
        <v>#N/A</v>
      </c>
    </row>
    <row r="484">
      <c r="C484" s="6" t="str">
        <f t="shared" si="1"/>
        <v/>
      </c>
      <c r="J484" s="7" t="str">
        <f>IFERROR(__xludf.DUMMYFUNCTION("IF($C484 = """", """", IFNA(
  ROWS(
    FILTER(
      Events!$G$2:$G1000,
      Events!$B$2:$B1000 &gt;= TODAY() - 90,
      REGEXMATCH(
        "","" &amp; SUBSTITUTE(Events!$G$2:$G1000, "" "", """") &amp; "","",
        "","" &amp; SUBSTITUTE($C484, "" "", """") &amp; """&amp;",""
      )
    )
  ),
0)
)"),"")</f>
        <v/>
      </c>
      <c r="K484" s="7" t="str">
        <f t="shared" si="2"/>
        <v>#N/A</v>
      </c>
    </row>
    <row r="485">
      <c r="C485" s="6" t="str">
        <f t="shared" si="1"/>
        <v/>
      </c>
      <c r="J485" s="7" t="str">
        <f>IFERROR(__xludf.DUMMYFUNCTION("IF($C485 = """", """", IFNA(
  ROWS(
    FILTER(
      Events!$G$2:$G1000,
      Events!$B$2:$B1000 &gt;= TODAY() - 90,
      REGEXMATCH(
        "","" &amp; SUBSTITUTE(Events!$G$2:$G1000, "" "", """") &amp; "","",
        "","" &amp; SUBSTITUTE($C485, "" "", """") &amp; """&amp;",""
      )
    )
  ),
0)
)"),"")</f>
        <v/>
      </c>
      <c r="K485" s="7" t="str">
        <f t="shared" si="2"/>
        <v>#N/A</v>
      </c>
    </row>
    <row r="486">
      <c r="C486" s="6" t="str">
        <f t="shared" si="1"/>
        <v/>
      </c>
      <c r="J486" s="7" t="str">
        <f>IFERROR(__xludf.DUMMYFUNCTION("IF($C486 = """", """", IFNA(
  ROWS(
    FILTER(
      Events!$G$2:$G1000,
      Events!$B$2:$B1000 &gt;= TODAY() - 90,
      REGEXMATCH(
        "","" &amp; SUBSTITUTE(Events!$G$2:$G1000, "" "", """") &amp; "","",
        "","" &amp; SUBSTITUTE($C486, "" "", """") &amp; """&amp;",""
      )
    )
  ),
0)
)"),"")</f>
        <v/>
      </c>
      <c r="K486" s="7" t="str">
        <f t="shared" si="2"/>
        <v>#N/A</v>
      </c>
    </row>
    <row r="487">
      <c r="C487" s="6" t="str">
        <f t="shared" si="1"/>
        <v/>
      </c>
      <c r="J487" s="7" t="str">
        <f>IFERROR(__xludf.DUMMYFUNCTION("IF($C487 = """", """", IFNA(
  ROWS(
    FILTER(
      Events!$G$2:$G1000,
      Events!$B$2:$B1000 &gt;= TODAY() - 90,
      REGEXMATCH(
        "","" &amp; SUBSTITUTE(Events!$G$2:$G1000, "" "", """") &amp; "","",
        "","" &amp; SUBSTITUTE($C487, "" "", """") &amp; """&amp;",""
      )
    )
  ),
0)
)"),"")</f>
        <v/>
      </c>
      <c r="K487" s="7" t="str">
        <f t="shared" si="2"/>
        <v>#N/A</v>
      </c>
    </row>
    <row r="488">
      <c r="C488" s="6" t="str">
        <f t="shared" si="1"/>
        <v/>
      </c>
      <c r="J488" s="7" t="str">
        <f>IFERROR(__xludf.DUMMYFUNCTION("IF($C488 = """", """", IFNA(
  ROWS(
    FILTER(
      Events!$G$2:$G1000,
      Events!$B$2:$B1000 &gt;= TODAY() - 90,
      REGEXMATCH(
        "","" &amp; SUBSTITUTE(Events!$G$2:$G1000, "" "", """") &amp; "","",
        "","" &amp; SUBSTITUTE($C488, "" "", """") &amp; """&amp;",""
      )
    )
  ),
0)
)"),"")</f>
        <v/>
      </c>
      <c r="K488" s="7" t="str">
        <f t="shared" si="2"/>
        <v>#N/A</v>
      </c>
    </row>
    <row r="489">
      <c r="C489" s="6" t="str">
        <f t="shared" si="1"/>
        <v/>
      </c>
      <c r="J489" s="7" t="str">
        <f>IFERROR(__xludf.DUMMYFUNCTION("IF($C489 = """", """", IFNA(
  ROWS(
    FILTER(
      Events!$G$2:$G1000,
      Events!$B$2:$B1000 &gt;= TODAY() - 90,
      REGEXMATCH(
        "","" &amp; SUBSTITUTE(Events!$G$2:$G1000, "" "", """") &amp; "","",
        "","" &amp; SUBSTITUTE($C489, "" "", """") &amp; """&amp;",""
      )
    )
  ),
0)
)"),"")</f>
        <v/>
      </c>
      <c r="K489" s="7" t="str">
        <f t="shared" si="2"/>
        <v>#N/A</v>
      </c>
    </row>
    <row r="490">
      <c r="C490" s="6" t="str">
        <f t="shared" si="1"/>
        <v/>
      </c>
      <c r="J490" s="7" t="str">
        <f>IFERROR(__xludf.DUMMYFUNCTION("IF($C490 = """", """", IFNA(
  ROWS(
    FILTER(
      Events!$G$2:$G1000,
      Events!$B$2:$B1000 &gt;= TODAY() - 90,
      REGEXMATCH(
        "","" &amp; SUBSTITUTE(Events!$G$2:$G1000, "" "", """") &amp; "","",
        "","" &amp; SUBSTITUTE($C490, "" "", """") &amp; """&amp;",""
      )
    )
  ),
0)
)"),"")</f>
        <v/>
      </c>
      <c r="K490" s="7" t="str">
        <f t="shared" si="2"/>
        <v>#N/A</v>
      </c>
    </row>
    <row r="491">
      <c r="C491" s="6" t="str">
        <f t="shared" si="1"/>
        <v/>
      </c>
      <c r="J491" s="7" t="str">
        <f>IFERROR(__xludf.DUMMYFUNCTION("IF($C491 = """", """", IFNA(
  ROWS(
    FILTER(
      Events!$G$2:$G1000,
      Events!$B$2:$B1000 &gt;= TODAY() - 90,
      REGEXMATCH(
        "","" &amp; SUBSTITUTE(Events!$G$2:$G1000, "" "", """") &amp; "","",
        "","" &amp; SUBSTITUTE($C491, "" "", """") &amp; """&amp;",""
      )
    )
  ),
0)
)"),"")</f>
        <v/>
      </c>
      <c r="K491" s="7" t="str">
        <f t="shared" si="2"/>
        <v>#N/A</v>
      </c>
    </row>
    <row r="492">
      <c r="C492" s="6" t="str">
        <f t="shared" si="1"/>
        <v/>
      </c>
      <c r="J492" s="7" t="str">
        <f>IFERROR(__xludf.DUMMYFUNCTION("IF($C492 = """", """", IFNA(
  ROWS(
    FILTER(
      Events!$G$2:$G1000,
      Events!$B$2:$B1000 &gt;= TODAY() - 90,
      REGEXMATCH(
        "","" &amp; SUBSTITUTE(Events!$G$2:$G1000, "" "", """") &amp; "","",
        "","" &amp; SUBSTITUTE($C492, "" "", """") &amp; """&amp;",""
      )
    )
  ),
0)
)"),"")</f>
        <v/>
      </c>
      <c r="K492" s="7" t="str">
        <f t="shared" si="2"/>
        <v>#N/A</v>
      </c>
    </row>
    <row r="493">
      <c r="C493" s="6" t="str">
        <f t="shared" si="1"/>
        <v/>
      </c>
      <c r="J493" s="7" t="str">
        <f>IFERROR(__xludf.DUMMYFUNCTION("IF($C493 = """", """", IFNA(
  ROWS(
    FILTER(
      Events!$G$2:$G1000,
      Events!$B$2:$B1000 &gt;= TODAY() - 90,
      REGEXMATCH(
        "","" &amp; SUBSTITUTE(Events!$G$2:$G1000, "" "", """") &amp; "","",
        "","" &amp; SUBSTITUTE($C493, "" "", """") &amp; """&amp;",""
      )
    )
  ),
0)
)"),"")</f>
        <v/>
      </c>
      <c r="K493" s="7" t="str">
        <f t="shared" si="2"/>
        <v>#N/A</v>
      </c>
    </row>
    <row r="494">
      <c r="C494" s="6" t="str">
        <f t="shared" si="1"/>
        <v/>
      </c>
      <c r="J494" s="7" t="str">
        <f>IFERROR(__xludf.DUMMYFUNCTION("IF($C494 = """", """", IFNA(
  ROWS(
    FILTER(
      Events!$G$2:$G1000,
      Events!$B$2:$B1000 &gt;= TODAY() - 90,
      REGEXMATCH(
        "","" &amp; SUBSTITUTE(Events!$G$2:$G1000, "" "", """") &amp; "","",
        "","" &amp; SUBSTITUTE($C494, "" "", """") &amp; """&amp;",""
      )
    )
  ),
0)
)"),"")</f>
        <v/>
      </c>
      <c r="K494" s="7" t="str">
        <f t="shared" si="2"/>
        <v>#N/A</v>
      </c>
    </row>
    <row r="495">
      <c r="C495" s="6" t="str">
        <f t="shared" si="1"/>
        <v/>
      </c>
      <c r="J495" s="7" t="str">
        <f>IFERROR(__xludf.DUMMYFUNCTION("IF($C495 = """", """", IFNA(
  ROWS(
    FILTER(
      Events!$G$2:$G1000,
      Events!$B$2:$B1000 &gt;= TODAY() - 90,
      REGEXMATCH(
        "","" &amp; SUBSTITUTE(Events!$G$2:$G1000, "" "", """") &amp; "","",
        "","" &amp; SUBSTITUTE($C495, "" "", """") &amp; """&amp;",""
      )
    )
  ),
0)
)"),"")</f>
        <v/>
      </c>
      <c r="K495" s="7" t="str">
        <f t="shared" si="2"/>
        <v>#N/A</v>
      </c>
    </row>
    <row r="496">
      <c r="C496" s="6" t="str">
        <f t="shared" si="1"/>
        <v/>
      </c>
      <c r="J496" s="7" t="str">
        <f>IFERROR(__xludf.DUMMYFUNCTION("IF($C496 = """", """", IFNA(
  ROWS(
    FILTER(
      Events!$G$2:$G1000,
      Events!$B$2:$B1000 &gt;= TODAY() - 90,
      REGEXMATCH(
        "","" &amp; SUBSTITUTE(Events!$G$2:$G1000, "" "", """") &amp; "","",
        "","" &amp; SUBSTITUTE($C496, "" "", """") &amp; """&amp;",""
      )
    )
  ),
0)
)"),"")</f>
        <v/>
      </c>
      <c r="K496" s="7" t="str">
        <f t="shared" si="2"/>
        <v>#N/A</v>
      </c>
    </row>
    <row r="497">
      <c r="C497" s="6" t="str">
        <f t="shared" si="1"/>
        <v/>
      </c>
      <c r="J497" s="7" t="str">
        <f>IFERROR(__xludf.DUMMYFUNCTION("IF($C497 = """", """", IFNA(
  ROWS(
    FILTER(
      Events!$G$2:$G1000,
      Events!$B$2:$B1000 &gt;= TODAY() - 90,
      REGEXMATCH(
        "","" &amp; SUBSTITUTE(Events!$G$2:$G1000, "" "", """") &amp; "","",
        "","" &amp; SUBSTITUTE($C497, "" "", """") &amp; """&amp;",""
      )
    )
  ),
0)
)"),"")</f>
        <v/>
      </c>
      <c r="K497" s="7" t="str">
        <f t="shared" si="2"/>
        <v>#N/A</v>
      </c>
    </row>
    <row r="498">
      <c r="C498" s="6" t="str">
        <f t="shared" si="1"/>
        <v/>
      </c>
      <c r="J498" s="7" t="str">
        <f>IFERROR(__xludf.DUMMYFUNCTION("IF($C498 = """", """", IFNA(
  ROWS(
    FILTER(
      Events!$G$2:$G1000,
      Events!$B$2:$B1000 &gt;= TODAY() - 90,
      REGEXMATCH(
        "","" &amp; SUBSTITUTE(Events!$G$2:$G1000, "" "", """") &amp; "","",
        "","" &amp; SUBSTITUTE($C498, "" "", """") &amp; """&amp;",""
      )
    )
  ),
0)
)"),"")</f>
        <v/>
      </c>
      <c r="K498" s="7" t="str">
        <f t="shared" si="2"/>
        <v>#N/A</v>
      </c>
    </row>
    <row r="499">
      <c r="C499" s="6" t="str">
        <f t="shared" si="1"/>
        <v/>
      </c>
      <c r="J499" s="7" t="str">
        <f>IFERROR(__xludf.DUMMYFUNCTION("IF($C499 = """", """", IFNA(
  ROWS(
    FILTER(
      Events!$G$2:$G1000,
      Events!$B$2:$B1000 &gt;= TODAY() - 90,
      REGEXMATCH(
        "","" &amp; SUBSTITUTE(Events!$G$2:$G1000, "" "", """") &amp; "","",
        "","" &amp; SUBSTITUTE($C499, "" "", """") &amp; """&amp;",""
      )
    )
  ),
0)
)"),"")</f>
        <v/>
      </c>
      <c r="K499" s="7" t="str">
        <f t="shared" si="2"/>
        <v>#N/A</v>
      </c>
    </row>
    <row r="500">
      <c r="C500" s="6" t="str">
        <f t="shared" si="1"/>
        <v/>
      </c>
      <c r="J500" s="7" t="str">
        <f>IFERROR(__xludf.DUMMYFUNCTION("IF($C500 = """", """", IFNA(
  ROWS(
    FILTER(
      Events!$G$2:$G1000,
      Events!$B$2:$B1000 &gt;= TODAY() - 90,
      REGEXMATCH(
        "","" &amp; SUBSTITUTE(Events!$G$2:$G1000, "" "", """") &amp; "","",
        "","" &amp; SUBSTITUTE($C500, "" "", """") &amp; """&amp;",""
      )
    )
  ),
0)
)"),"")</f>
        <v/>
      </c>
      <c r="K500" s="7" t="str">
        <f t="shared" si="2"/>
        <v>#N/A</v>
      </c>
    </row>
    <row r="501">
      <c r="C501" s="6" t="str">
        <f t="shared" si="1"/>
        <v/>
      </c>
      <c r="J501" s="7" t="str">
        <f>IFERROR(__xludf.DUMMYFUNCTION("IF($C501 = """", """", IFNA(
  ROWS(
    FILTER(
      Events!$G$2:$G1000,
      Events!$B$2:$B1000 &gt;= TODAY() - 90,
      REGEXMATCH(
        "","" &amp; SUBSTITUTE(Events!$G$2:$G1000, "" "", """") &amp; "","",
        "","" &amp; SUBSTITUTE($C501, "" "", """") &amp; """&amp;",""
      )
    )
  ),
0)
)"),"")</f>
        <v/>
      </c>
      <c r="K501" s="7" t="str">
        <f t="shared" si="2"/>
        <v>#N/A</v>
      </c>
    </row>
    <row r="502">
      <c r="C502" s="6" t="str">
        <f t="shared" si="1"/>
        <v/>
      </c>
      <c r="J502" s="7" t="str">
        <f>IFERROR(__xludf.DUMMYFUNCTION("IF($C502 = """", """", IFNA(
  ROWS(
    FILTER(
      Events!$G$2:$G1000,
      Events!$B$2:$B1000 &gt;= TODAY() - 90,
      REGEXMATCH(
        "","" &amp; SUBSTITUTE(Events!$G$2:$G1000, "" "", """") &amp; "","",
        "","" &amp; SUBSTITUTE($C502, "" "", """") &amp; """&amp;",""
      )
    )
  ),
0)
)"),"")</f>
        <v/>
      </c>
      <c r="K502" s="7" t="str">
        <f t="shared" si="2"/>
        <v>#N/A</v>
      </c>
    </row>
    <row r="503">
      <c r="C503" s="6" t="str">
        <f t="shared" si="1"/>
        <v/>
      </c>
      <c r="J503" s="7" t="str">
        <f>IFERROR(__xludf.DUMMYFUNCTION("IF($C503 = """", """", IFNA(
  ROWS(
    FILTER(
      Events!$G$2:$G1000,
      Events!$B$2:$B1000 &gt;= TODAY() - 90,
      REGEXMATCH(
        "","" &amp; SUBSTITUTE(Events!$G$2:$G1000, "" "", """") &amp; "","",
        "","" &amp; SUBSTITUTE($C503, "" "", """") &amp; """&amp;",""
      )
    )
  ),
0)
)"),"")</f>
        <v/>
      </c>
      <c r="K503" s="7" t="str">
        <f t="shared" si="2"/>
        <v>#N/A</v>
      </c>
    </row>
    <row r="504">
      <c r="C504" s="6" t="str">
        <f t="shared" si="1"/>
        <v/>
      </c>
      <c r="J504" s="7" t="str">
        <f>IFERROR(__xludf.DUMMYFUNCTION("IF($C504 = """", """", IFNA(
  ROWS(
    FILTER(
      Events!$G$2:$G1000,
      Events!$B$2:$B1000 &gt;= TODAY() - 90,
      REGEXMATCH(
        "","" &amp; SUBSTITUTE(Events!$G$2:$G1000, "" "", """") &amp; "","",
        "","" &amp; SUBSTITUTE($C504, "" "", """") &amp; """&amp;",""
      )
    )
  ),
0)
)"),"")</f>
        <v/>
      </c>
      <c r="K504" s="7" t="str">
        <f t="shared" si="2"/>
        <v>#N/A</v>
      </c>
    </row>
    <row r="505">
      <c r="C505" s="6" t="str">
        <f t="shared" si="1"/>
        <v/>
      </c>
      <c r="J505" s="7" t="str">
        <f>IFERROR(__xludf.DUMMYFUNCTION("IF($C505 = """", """", IFNA(
  ROWS(
    FILTER(
      Events!$G$2:$G1000,
      Events!$B$2:$B1000 &gt;= TODAY() - 90,
      REGEXMATCH(
        "","" &amp; SUBSTITUTE(Events!$G$2:$G1000, "" "", """") &amp; "","",
        "","" &amp; SUBSTITUTE($C505, "" "", """") &amp; """&amp;",""
      )
    )
  ),
0)
)"),"")</f>
        <v/>
      </c>
      <c r="K505" s="7" t="str">
        <f t="shared" si="2"/>
        <v>#N/A</v>
      </c>
    </row>
    <row r="506">
      <c r="C506" s="6" t="str">
        <f t="shared" si="1"/>
        <v/>
      </c>
      <c r="J506" s="7" t="str">
        <f>IFERROR(__xludf.DUMMYFUNCTION("IF($C506 = """", """", IFNA(
  ROWS(
    FILTER(
      Events!$G$2:$G1000,
      Events!$B$2:$B1000 &gt;= TODAY() - 90,
      REGEXMATCH(
        "","" &amp; SUBSTITUTE(Events!$G$2:$G1000, "" "", """") &amp; "","",
        "","" &amp; SUBSTITUTE($C506, "" "", """") &amp; """&amp;",""
      )
    )
  ),
0)
)"),"")</f>
        <v/>
      </c>
      <c r="K506" s="7" t="str">
        <f t="shared" si="2"/>
        <v>#N/A</v>
      </c>
    </row>
    <row r="507">
      <c r="C507" s="6" t="str">
        <f t="shared" si="1"/>
        <v/>
      </c>
      <c r="J507" s="7" t="str">
        <f>IFERROR(__xludf.DUMMYFUNCTION("IF($C507 = """", """", IFNA(
  ROWS(
    FILTER(
      Events!$G$2:$G1000,
      Events!$B$2:$B1000 &gt;= TODAY() - 90,
      REGEXMATCH(
        "","" &amp; SUBSTITUTE(Events!$G$2:$G1000, "" "", """") &amp; "","",
        "","" &amp; SUBSTITUTE($C507, "" "", """") &amp; """&amp;",""
      )
    )
  ),
0)
)"),"")</f>
        <v/>
      </c>
      <c r="K507" s="7" t="str">
        <f t="shared" si="2"/>
        <v>#N/A</v>
      </c>
    </row>
    <row r="508">
      <c r="C508" s="6" t="str">
        <f t="shared" si="1"/>
        <v/>
      </c>
      <c r="J508" s="7" t="str">
        <f>IFERROR(__xludf.DUMMYFUNCTION("IF($C508 = """", """", IFNA(
  ROWS(
    FILTER(
      Events!$G$2:$G1000,
      Events!$B$2:$B1000 &gt;= TODAY() - 90,
      REGEXMATCH(
        "","" &amp; SUBSTITUTE(Events!$G$2:$G1000, "" "", """") &amp; "","",
        "","" &amp; SUBSTITUTE($C508, "" "", """") &amp; """&amp;",""
      )
    )
  ),
0)
)"),"")</f>
        <v/>
      </c>
      <c r="K508" s="7" t="str">
        <f t="shared" si="2"/>
        <v>#N/A</v>
      </c>
    </row>
    <row r="509">
      <c r="C509" s="6" t="str">
        <f t="shared" si="1"/>
        <v/>
      </c>
      <c r="J509" s="7" t="str">
        <f>IFERROR(__xludf.DUMMYFUNCTION("IF($C509 = """", """", IFNA(
  ROWS(
    FILTER(
      Events!$G$2:$G1000,
      Events!$B$2:$B1000 &gt;= TODAY() - 90,
      REGEXMATCH(
        "","" &amp; SUBSTITUTE(Events!$G$2:$G1000, "" "", """") &amp; "","",
        "","" &amp; SUBSTITUTE($C509, "" "", """") &amp; """&amp;",""
      )
    )
  ),
0)
)"),"")</f>
        <v/>
      </c>
      <c r="K509" s="7" t="str">
        <f t="shared" si="2"/>
        <v>#N/A</v>
      </c>
    </row>
    <row r="510">
      <c r="C510" s="6" t="str">
        <f t="shared" si="1"/>
        <v/>
      </c>
      <c r="J510" s="7" t="str">
        <f>IFERROR(__xludf.DUMMYFUNCTION("IF($C510 = """", """", IFNA(
  ROWS(
    FILTER(
      Events!$G$2:$G1000,
      Events!$B$2:$B1000 &gt;= TODAY() - 90,
      REGEXMATCH(
        "","" &amp; SUBSTITUTE(Events!$G$2:$G1000, "" "", """") &amp; "","",
        "","" &amp; SUBSTITUTE($C510, "" "", """") &amp; """&amp;",""
      )
    )
  ),
0)
)"),"")</f>
        <v/>
      </c>
      <c r="K510" s="7" t="str">
        <f t="shared" si="2"/>
        <v>#N/A</v>
      </c>
    </row>
    <row r="511">
      <c r="C511" s="6" t="str">
        <f t="shared" si="1"/>
        <v/>
      </c>
      <c r="J511" s="7" t="str">
        <f>IFERROR(__xludf.DUMMYFUNCTION("IF($C511 = """", """", IFNA(
  ROWS(
    FILTER(
      Events!$G$2:$G1000,
      Events!$B$2:$B1000 &gt;= TODAY() - 90,
      REGEXMATCH(
        "","" &amp; SUBSTITUTE(Events!$G$2:$G1000, "" "", """") &amp; "","",
        "","" &amp; SUBSTITUTE($C511, "" "", """") &amp; """&amp;",""
      )
    )
  ),
0)
)"),"")</f>
        <v/>
      </c>
      <c r="K511" s="7" t="str">
        <f t="shared" si="2"/>
        <v>#N/A</v>
      </c>
    </row>
    <row r="512">
      <c r="C512" s="6" t="str">
        <f t="shared" si="1"/>
        <v/>
      </c>
      <c r="J512" s="7" t="str">
        <f>IFERROR(__xludf.DUMMYFUNCTION("IF($C512 = """", """", IFNA(
  ROWS(
    FILTER(
      Events!$G$2:$G1000,
      Events!$B$2:$B1000 &gt;= TODAY() - 90,
      REGEXMATCH(
        "","" &amp; SUBSTITUTE(Events!$G$2:$G1000, "" "", """") &amp; "","",
        "","" &amp; SUBSTITUTE($C512, "" "", """") &amp; """&amp;",""
      )
    )
  ),
0)
)"),"")</f>
        <v/>
      </c>
      <c r="K512" s="7" t="str">
        <f t="shared" si="2"/>
        <v>#N/A</v>
      </c>
    </row>
    <row r="513">
      <c r="C513" s="6" t="str">
        <f t="shared" si="1"/>
        <v/>
      </c>
      <c r="J513" s="7" t="str">
        <f>IFERROR(__xludf.DUMMYFUNCTION("IF($C513 = """", """", IFNA(
  ROWS(
    FILTER(
      Events!$G$2:$G1000,
      Events!$B$2:$B1000 &gt;= TODAY() - 90,
      REGEXMATCH(
        "","" &amp; SUBSTITUTE(Events!$G$2:$G1000, "" "", """") &amp; "","",
        "","" &amp; SUBSTITUTE($C513, "" "", """") &amp; """&amp;",""
      )
    )
  ),
0)
)"),"")</f>
        <v/>
      </c>
      <c r="K513" s="7" t="str">
        <f t="shared" si="2"/>
        <v>#N/A</v>
      </c>
    </row>
    <row r="514">
      <c r="C514" s="6" t="str">
        <f t="shared" si="1"/>
        <v/>
      </c>
      <c r="J514" s="7" t="str">
        <f>IFERROR(__xludf.DUMMYFUNCTION("IF($C514 = """", """", IFNA(
  ROWS(
    FILTER(
      Events!$G$2:$G1000,
      Events!$B$2:$B1000 &gt;= TODAY() - 90,
      REGEXMATCH(
        "","" &amp; SUBSTITUTE(Events!$G$2:$G1000, "" "", """") &amp; "","",
        "","" &amp; SUBSTITUTE($C514, "" "", """") &amp; """&amp;",""
      )
    )
  ),
0)
)"),"")</f>
        <v/>
      </c>
      <c r="K514" s="7" t="str">
        <f t="shared" si="2"/>
        <v>#N/A</v>
      </c>
    </row>
    <row r="515">
      <c r="C515" s="6" t="str">
        <f t="shared" si="1"/>
        <v/>
      </c>
      <c r="J515" s="7" t="str">
        <f>IFERROR(__xludf.DUMMYFUNCTION("IF($C515 = """", """", IFNA(
  ROWS(
    FILTER(
      Events!$G$2:$G1000,
      Events!$B$2:$B1000 &gt;= TODAY() - 90,
      REGEXMATCH(
        "","" &amp; SUBSTITUTE(Events!$G$2:$G1000, "" "", """") &amp; "","",
        "","" &amp; SUBSTITUTE($C515, "" "", """") &amp; """&amp;",""
      )
    )
  ),
0)
)"),"")</f>
        <v/>
      </c>
      <c r="K515" s="7" t="str">
        <f t="shared" si="2"/>
        <v>#N/A</v>
      </c>
    </row>
    <row r="516">
      <c r="C516" s="6" t="str">
        <f t="shared" si="1"/>
        <v/>
      </c>
      <c r="J516" s="7" t="str">
        <f>IFERROR(__xludf.DUMMYFUNCTION("IF($C516 = """", """", IFNA(
  ROWS(
    FILTER(
      Events!$G$2:$G1000,
      Events!$B$2:$B1000 &gt;= TODAY() - 90,
      REGEXMATCH(
        "","" &amp; SUBSTITUTE(Events!$G$2:$G1000, "" "", """") &amp; "","",
        "","" &amp; SUBSTITUTE($C516, "" "", """") &amp; """&amp;",""
      )
    )
  ),
0)
)"),"")</f>
        <v/>
      </c>
      <c r="K516" s="7" t="str">
        <f t="shared" si="2"/>
        <v>#N/A</v>
      </c>
    </row>
    <row r="517">
      <c r="C517" s="6" t="str">
        <f t="shared" si="1"/>
        <v/>
      </c>
      <c r="J517" s="7" t="str">
        <f>IFERROR(__xludf.DUMMYFUNCTION("IF($C517 = """", """", IFNA(
  ROWS(
    FILTER(
      Events!$G$2:$G1000,
      Events!$B$2:$B1000 &gt;= TODAY() - 90,
      REGEXMATCH(
        "","" &amp; SUBSTITUTE(Events!$G$2:$G1000, "" "", """") &amp; "","",
        "","" &amp; SUBSTITUTE($C517, "" "", """") &amp; """&amp;",""
      )
    )
  ),
0)
)"),"")</f>
        <v/>
      </c>
      <c r="K517" s="7" t="str">
        <f t="shared" si="2"/>
        <v>#N/A</v>
      </c>
    </row>
    <row r="518">
      <c r="C518" s="6" t="str">
        <f t="shared" si="1"/>
        <v/>
      </c>
      <c r="J518" s="7" t="str">
        <f>IFERROR(__xludf.DUMMYFUNCTION("IF($C518 = """", """", IFNA(
  ROWS(
    FILTER(
      Events!$G$2:$G1000,
      Events!$B$2:$B1000 &gt;= TODAY() - 90,
      REGEXMATCH(
        "","" &amp; SUBSTITUTE(Events!$G$2:$G1000, "" "", """") &amp; "","",
        "","" &amp; SUBSTITUTE($C518, "" "", """") &amp; """&amp;",""
      )
    )
  ),
0)
)"),"")</f>
        <v/>
      </c>
      <c r="K518" s="7" t="str">
        <f t="shared" si="2"/>
        <v>#N/A</v>
      </c>
    </row>
    <row r="519">
      <c r="C519" s="6" t="str">
        <f t="shared" si="1"/>
        <v/>
      </c>
      <c r="J519" s="7" t="str">
        <f>IFERROR(__xludf.DUMMYFUNCTION("IF($C519 = """", """", IFNA(
  ROWS(
    FILTER(
      Events!$G$2:$G1000,
      Events!$B$2:$B1000 &gt;= TODAY() - 90,
      REGEXMATCH(
        "","" &amp; SUBSTITUTE(Events!$G$2:$G1000, "" "", """") &amp; "","",
        "","" &amp; SUBSTITUTE($C519, "" "", """") &amp; """&amp;",""
      )
    )
  ),
0)
)"),"")</f>
        <v/>
      </c>
      <c r="K519" s="7" t="str">
        <f t="shared" si="2"/>
        <v>#N/A</v>
      </c>
    </row>
    <row r="520">
      <c r="C520" s="6" t="str">
        <f t="shared" si="1"/>
        <v/>
      </c>
      <c r="J520" s="7" t="str">
        <f>IFERROR(__xludf.DUMMYFUNCTION("IF($C520 = """", """", IFNA(
  ROWS(
    FILTER(
      Events!$G$2:$G1000,
      Events!$B$2:$B1000 &gt;= TODAY() - 90,
      REGEXMATCH(
        "","" &amp; SUBSTITUTE(Events!$G$2:$G1000, "" "", """") &amp; "","",
        "","" &amp; SUBSTITUTE($C520, "" "", """") &amp; """&amp;",""
      )
    )
  ),
0)
)"),"")</f>
        <v/>
      </c>
      <c r="K520" s="7" t="str">
        <f t="shared" si="2"/>
        <v>#N/A</v>
      </c>
    </row>
    <row r="521">
      <c r="C521" s="6" t="str">
        <f t="shared" si="1"/>
        <v/>
      </c>
      <c r="J521" s="7" t="str">
        <f>IFERROR(__xludf.DUMMYFUNCTION("IF($C521 = """", """", IFNA(
  ROWS(
    FILTER(
      Events!$G$2:$G1000,
      Events!$B$2:$B1000 &gt;= TODAY() - 90,
      REGEXMATCH(
        "","" &amp; SUBSTITUTE(Events!$G$2:$G1000, "" "", """") &amp; "","",
        "","" &amp; SUBSTITUTE($C521, "" "", """") &amp; """&amp;",""
      )
    )
  ),
0)
)"),"")</f>
        <v/>
      </c>
      <c r="K521" s="7" t="str">
        <f t="shared" si="2"/>
        <v>#N/A</v>
      </c>
    </row>
    <row r="522">
      <c r="C522" s="6" t="str">
        <f t="shared" si="1"/>
        <v/>
      </c>
      <c r="J522" s="7" t="str">
        <f>IFERROR(__xludf.DUMMYFUNCTION("IF($C522 = """", """", IFNA(
  ROWS(
    FILTER(
      Events!$G$2:$G1000,
      Events!$B$2:$B1000 &gt;= TODAY() - 90,
      REGEXMATCH(
        "","" &amp; SUBSTITUTE(Events!$G$2:$G1000, "" "", """") &amp; "","",
        "","" &amp; SUBSTITUTE($C522, "" "", """") &amp; """&amp;",""
      )
    )
  ),
0)
)"),"")</f>
        <v/>
      </c>
      <c r="K522" s="7" t="str">
        <f t="shared" si="2"/>
        <v>#N/A</v>
      </c>
    </row>
    <row r="523">
      <c r="C523" s="6" t="str">
        <f t="shared" si="1"/>
        <v/>
      </c>
      <c r="J523" s="7" t="str">
        <f>IFERROR(__xludf.DUMMYFUNCTION("IF($C523 = """", """", IFNA(
  ROWS(
    FILTER(
      Events!$G$2:$G1000,
      Events!$B$2:$B1000 &gt;= TODAY() - 90,
      REGEXMATCH(
        "","" &amp; SUBSTITUTE(Events!$G$2:$G1000, "" "", """") &amp; "","",
        "","" &amp; SUBSTITUTE($C523, "" "", """") &amp; """&amp;",""
      )
    )
  ),
0)
)"),"")</f>
        <v/>
      </c>
      <c r="K523" s="7" t="str">
        <f t="shared" si="2"/>
        <v>#N/A</v>
      </c>
    </row>
    <row r="524">
      <c r="C524" s="6" t="str">
        <f t="shared" si="1"/>
        <v/>
      </c>
      <c r="J524" s="7" t="str">
        <f>IFERROR(__xludf.DUMMYFUNCTION("IF($C524 = """", """", IFNA(
  ROWS(
    FILTER(
      Events!$G$2:$G1000,
      Events!$B$2:$B1000 &gt;= TODAY() - 90,
      REGEXMATCH(
        "","" &amp; SUBSTITUTE(Events!$G$2:$G1000, "" "", """") &amp; "","",
        "","" &amp; SUBSTITUTE($C524, "" "", """") &amp; """&amp;",""
      )
    )
  ),
0)
)"),"")</f>
        <v/>
      </c>
      <c r="K524" s="7" t="str">
        <f t="shared" si="2"/>
        <v>#N/A</v>
      </c>
    </row>
    <row r="525">
      <c r="C525" s="6" t="str">
        <f t="shared" si="1"/>
        <v/>
      </c>
      <c r="J525" s="7" t="str">
        <f>IFERROR(__xludf.DUMMYFUNCTION("IF($C525 = """", """", IFNA(
  ROWS(
    FILTER(
      Events!$G$2:$G1000,
      Events!$B$2:$B1000 &gt;= TODAY() - 90,
      REGEXMATCH(
        "","" &amp; SUBSTITUTE(Events!$G$2:$G1000, "" "", """") &amp; "","",
        "","" &amp; SUBSTITUTE($C525, "" "", """") &amp; """&amp;",""
      )
    )
  ),
0)
)"),"")</f>
        <v/>
      </c>
      <c r="K525" s="7" t="str">
        <f t="shared" si="2"/>
        <v>#N/A</v>
      </c>
    </row>
    <row r="526">
      <c r="C526" s="6" t="str">
        <f t="shared" si="1"/>
        <v/>
      </c>
      <c r="J526" s="7" t="str">
        <f>IFERROR(__xludf.DUMMYFUNCTION("IF($C526 = """", """", IFNA(
  ROWS(
    FILTER(
      Events!$G$2:$G1000,
      Events!$B$2:$B1000 &gt;= TODAY() - 90,
      REGEXMATCH(
        "","" &amp; SUBSTITUTE(Events!$G$2:$G1000, "" "", """") &amp; "","",
        "","" &amp; SUBSTITUTE($C526, "" "", """") &amp; """&amp;",""
      )
    )
  ),
0)
)"),"")</f>
        <v/>
      </c>
      <c r="K526" s="7" t="str">
        <f t="shared" si="2"/>
        <v>#N/A</v>
      </c>
    </row>
    <row r="527">
      <c r="C527" s="6" t="str">
        <f t="shared" si="1"/>
        <v/>
      </c>
      <c r="J527" s="7" t="str">
        <f>IFERROR(__xludf.DUMMYFUNCTION("IF($C527 = """", """", IFNA(
  ROWS(
    FILTER(
      Events!$G$2:$G1000,
      Events!$B$2:$B1000 &gt;= TODAY() - 90,
      REGEXMATCH(
        "","" &amp; SUBSTITUTE(Events!$G$2:$G1000, "" "", """") &amp; "","",
        "","" &amp; SUBSTITUTE($C527, "" "", """") &amp; """&amp;",""
      )
    )
  ),
0)
)"),"")</f>
        <v/>
      </c>
      <c r="K527" s="7" t="str">
        <f t="shared" si="2"/>
        <v>#N/A</v>
      </c>
    </row>
    <row r="528">
      <c r="C528" s="6" t="str">
        <f t="shared" si="1"/>
        <v/>
      </c>
      <c r="J528" s="7" t="str">
        <f>IFERROR(__xludf.DUMMYFUNCTION("IF($C528 = """", """", IFNA(
  ROWS(
    FILTER(
      Events!$G$2:$G1000,
      Events!$B$2:$B1000 &gt;= TODAY() - 90,
      REGEXMATCH(
        "","" &amp; SUBSTITUTE(Events!$G$2:$G1000, "" "", """") &amp; "","",
        "","" &amp; SUBSTITUTE($C528, "" "", """") &amp; """&amp;",""
      )
    )
  ),
0)
)"),"")</f>
        <v/>
      </c>
      <c r="K528" s="7" t="str">
        <f t="shared" si="2"/>
        <v>#N/A</v>
      </c>
    </row>
    <row r="529">
      <c r="C529" s="6" t="str">
        <f t="shared" si="1"/>
        <v/>
      </c>
      <c r="J529" s="7" t="str">
        <f>IFERROR(__xludf.DUMMYFUNCTION("IF($C529 = """", """", IFNA(
  ROWS(
    FILTER(
      Events!$G$2:$G1000,
      Events!$B$2:$B1000 &gt;= TODAY() - 90,
      REGEXMATCH(
        "","" &amp; SUBSTITUTE(Events!$G$2:$G1000, "" "", """") &amp; "","",
        "","" &amp; SUBSTITUTE($C529, "" "", """") &amp; """&amp;",""
      )
    )
  ),
0)
)"),"")</f>
        <v/>
      </c>
      <c r="K529" s="7" t="str">
        <f t="shared" si="2"/>
        <v>#N/A</v>
      </c>
    </row>
    <row r="530">
      <c r="C530" s="6" t="str">
        <f t="shared" si="1"/>
        <v/>
      </c>
      <c r="J530" s="7" t="str">
        <f>IFERROR(__xludf.DUMMYFUNCTION("IF($C530 = """", """", IFNA(
  ROWS(
    FILTER(
      Events!$G$2:$G1000,
      Events!$B$2:$B1000 &gt;= TODAY() - 90,
      REGEXMATCH(
        "","" &amp; SUBSTITUTE(Events!$G$2:$G1000, "" "", """") &amp; "","",
        "","" &amp; SUBSTITUTE($C530, "" "", """") &amp; """&amp;",""
      )
    )
  ),
0)
)"),"")</f>
        <v/>
      </c>
      <c r="K530" s="7" t="str">
        <f t="shared" si="2"/>
        <v>#N/A</v>
      </c>
    </row>
    <row r="531">
      <c r="C531" s="6" t="str">
        <f t="shared" si="1"/>
        <v/>
      </c>
      <c r="J531" s="7" t="str">
        <f>IFERROR(__xludf.DUMMYFUNCTION("IF($C531 = """", """", IFNA(
  ROWS(
    FILTER(
      Events!$G$2:$G1000,
      Events!$B$2:$B1000 &gt;= TODAY() - 90,
      REGEXMATCH(
        "","" &amp; SUBSTITUTE(Events!$G$2:$G1000, "" "", """") &amp; "","",
        "","" &amp; SUBSTITUTE($C531, "" "", """") &amp; """&amp;",""
      )
    )
  ),
0)
)"),"")</f>
        <v/>
      </c>
      <c r="K531" s="7" t="str">
        <f t="shared" si="2"/>
        <v>#N/A</v>
      </c>
    </row>
    <row r="532">
      <c r="C532" s="6" t="str">
        <f t="shared" si="1"/>
        <v/>
      </c>
      <c r="J532" s="7" t="str">
        <f>IFERROR(__xludf.DUMMYFUNCTION("IF($C532 = """", """", IFNA(
  ROWS(
    FILTER(
      Events!$G$2:$G1000,
      Events!$B$2:$B1000 &gt;= TODAY() - 90,
      REGEXMATCH(
        "","" &amp; SUBSTITUTE(Events!$G$2:$G1000, "" "", """") &amp; "","",
        "","" &amp; SUBSTITUTE($C532, "" "", """") &amp; """&amp;",""
      )
    )
  ),
0)
)"),"")</f>
        <v/>
      </c>
      <c r="K532" s="7" t="str">
        <f t="shared" si="2"/>
        <v>#N/A</v>
      </c>
    </row>
    <row r="533">
      <c r="C533" s="6" t="str">
        <f t="shared" si="1"/>
        <v/>
      </c>
      <c r="J533" s="7" t="str">
        <f>IFERROR(__xludf.DUMMYFUNCTION("IF($C533 = """", """", IFNA(
  ROWS(
    FILTER(
      Events!$G$2:$G1000,
      Events!$B$2:$B1000 &gt;= TODAY() - 90,
      REGEXMATCH(
        "","" &amp; SUBSTITUTE(Events!$G$2:$G1000, "" "", """") &amp; "","",
        "","" &amp; SUBSTITUTE($C533, "" "", """") &amp; """&amp;",""
      )
    )
  ),
0)
)"),"")</f>
        <v/>
      </c>
      <c r="K533" s="7" t="str">
        <f t="shared" si="2"/>
        <v>#N/A</v>
      </c>
    </row>
    <row r="534">
      <c r="C534" s="6" t="str">
        <f t="shared" si="1"/>
        <v/>
      </c>
      <c r="J534" s="7" t="str">
        <f>IFERROR(__xludf.DUMMYFUNCTION("IF($C534 = """", """", IFNA(
  ROWS(
    FILTER(
      Events!$G$2:$G1000,
      Events!$B$2:$B1000 &gt;= TODAY() - 90,
      REGEXMATCH(
        "","" &amp; SUBSTITUTE(Events!$G$2:$G1000, "" "", """") &amp; "","",
        "","" &amp; SUBSTITUTE($C534, "" "", """") &amp; """&amp;",""
      )
    )
  ),
0)
)"),"")</f>
        <v/>
      </c>
      <c r="K534" s="7" t="str">
        <f t="shared" si="2"/>
        <v>#N/A</v>
      </c>
    </row>
    <row r="535">
      <c r="C535" s="6" t="str">
        <f t="shared" si="1"/>
        <v/>
      </c>
      <c r="J535" s="7" t="str">
        <f>IFERROR(__xludf.DUMMYFUNCTION("IF($C535 = """", """", IFNA(
  ROWS(
    FILTER(
      Events!$G$2:$G1000,
      Events!$B$2:$B1000 &gt;= TODAY() - 90,
      REGEXMATCH(
        "","" &amp; SUBSTITUTE(Events!$G$2:$G1000, "" "", """") &amp; "","",
        "","" &amp; SUBSTITUTE($C535, "" "", """") &amp; """&amp;",""
      )
    )
  ),
0)
)"),"")</f>
        <v/>
      </c>
      <c r="K535" s="7" t="str">
        <f t="shared" si="2"/>
        <v>#N/A</v>
      </c>
    </row>
    <row r="536">
      <c r="C536" s="6" t="str">
        <f t="shared" si="1"/>
        <v/>
      </c>
      <c r="J536" s="7" t="str">
        <f>IFERROR(__xludf.DUMMYFUNCTION("IF($C536 = """", """", IFNA(
  ROWS(
    FILTER(
      Events!$G$2:$G1000,
      Events!$B$2:$B1000 &gt;= TODAY() - 90,
      REGEXMATCH(
        "","" &amp; SUBSTITUTE(Events!$G$2:$G1000, "" "", """") &amp; "","",
        "","" &amp; SUBSTITUTE($C536, "" "", """") &amp; """&amp;",""
      )
    )
  ),
0)
)"),"")</f>
        <v/>
      </c>
      <c r="K536" s="7" t="str">
        <f t="shared" si="2"/>
        <v>#N/A</v>
      </c>
    </row>
    <row r="537">
      <c r="C537" s="6" t="str">
        <f t="shared" si="1"/>
        <v/>
      </c>
      <c r="J537" s="7" t="str">
        <f>IFERROR(__xludf.DUMMYFUNCTION("IF($C537 = """", """", IFNA(
  ROWS(
    FILTER(
      Events!$G$2:$G1000,
      Events!$B$2:$B1000 &gt;= TODAY() - 90,
      REGEXMATCH(
        "","" &amp; SUBSTITUTE(Events!$G$2:$G1000, "" "", """") &amp; "","",
        "","" &amp; SUBSTITUTE($C537, "" "", """") &amp; """&amp;",""
      )
    )
  ),
0)
)"),"")</f>
        <v/>
      </c>
      <c r="K537" s="7" t="str">
        <f t="shared" si="2"/>
        <v>#N/A</v>
      </c>
    </row>
    <row r="538">
      <c r="C538" s="6" t="str">
        <f t="shared" si="1"/>
        <v/>
      </c>
      <c r="J538" s="7" t="str">
        <f>IFERROR(__xludf.DUMMYFUNCTION("IF($C538 = """", """", IFNA(
  ROWS(
    FILTER(
      Events!$G$2:$G1000,
      Events!$B$2:$B1000 &gt;= TODAY() - 90,
      REGEXMATCH(
        "","" &amp; SUBSTITUTE(Events!$G$2:$G1000, "" "", """") &amp; "","",
        "","" &amp; SUBSTITUTE($C538, "" "", """") &amp; """&amp;",""
      )
    )
  ),
0)
)"),"")</f>
        <v/>
      </c>
      <c r="K538" s="7" t="str">
        <f t="shared" si="2"/>
        <v>#N/A</v>
      </c>
    </row>
    <row r="539">
      <c r="C539" s="6" t="str">
        <f t="shared" si="1"/>
        <v/>
      </c>
      <c r="J539" s="7" t="str">
        <f>IFERROR(__xludf.DUMMYFUNCTION("IF($C539 = """", """", IFNA(
  ROWS(
    FILTER(
      Events!$G$2:$G1000,
      Events!$B$2:$B1000 &gt;= TODAY() - 90,
      REGEXMATCH(
        "","" &amp; SUBSTITUTE(Events!$G$2:$G1000, "" "", """") &amp; "","",
        "","" &amp; SUBSTITUTE($C539, "" "", """") &amp; """&amp;",""
      )
    )
  ),
0)
)"),"")</f>
        <v/>
      </c>
      <c r="K539" s="7" t="str">
        <f t="shared" si="2"/>
        <v>#N/A</v>
      </c>
    </row>
    <row r="540">
      <c r="C540" s="6" t="str">
        <f t="shared" si="1"/>
        <v/>
      </c>
      <c r="J540" s="7" t="str">
        <f>IFERROR(__xludf.DUMMYFUNCTION("IF($C540 = """", """", IFNA(
  ROWS(
    FILTER(
      Events!$G$2:$G1000,
      Events!$B$2:$B1000 &gt;= TODAY() - 90,
      REGEXMATCH(
        "","" &amp; SUBSTITUTE(Events!$G$2:$G1000, "" "", """") &amp; "","",
        "","" &amp; SUBSTITUTE($C540, "" "", """") &amp; """&amp;",""
      )
    )
  ),
0)
)"),"")</f>
        <v/>
      </c>
      <c r="K540" s="7" t="str">
        <f t="shared" si="2"/>
        <v>#N/A</v>
      </c>
    </row>
    <row r="541">
      <c r="C541" s="6" t="str">
        <f t="shared" si="1"/>
        <v/>
      </c>
      <c r="J541" s="7" t="str">
        <f>IFERROR(__xludf.DUMMYFUNCTION("IF($C541 = """", """", IFNA(
  ROWS(
    FILTER(
      Events!$G$2:$G1000,
      Events!$B$2:$B1000 &gt;= TODAY() - 90,
      REGEXMATCH(
        "","" &amp; SUBSTITUTE(Events!$G$2:$G1000, "" "", """") &amp; "","",
        "","" &amp; SUBSTITUTE($C541, "" "", """") &amp; """&amp;",""
      )
    )
  ),
0)
)"),"")</f>
        <v/>
      </c>
      <c r="K541" s="7" t="str">
        <f t="shared" si="2"/>
        <v>#N/A</v>
      </c>
    </row>
    <row r="542">
      <c r="C542" s="6" t="str">
        <f t="shared" si="1"/>
        <v/>
      </c>
      <c r="J542" s="7" t="str">
        <f>IFERROR(__xludf.DUMMYFUNCTION("IF($C542 = """", """", IFNA(
  ROWS(
    FILTER(
      Events!$G$2:$G1000,
      Events!$B$2:$B1000 &gt;= TODAY() - 90,
      REGEXMATCH(
        "","" &amp; SUBSTITUTE(Events!$G$2:$G1000, "" "", """") &amp; "","",
        "","" &amp; SUBSTITUTE($C542, "" "", """") &amp; """&amp;",""
      )
    )
  ),
0)
)"),"")</f>
        <v/>
      </c>
      <c r="K542" s="7" t="str">
        <f t="shared" si="2"/>
        <v>#N/A</v>
      </c>
    </row>
    <row r="543">
      <c r="C543" s="6" t="str">
        <f t="shared" si="1"/>
        <v/>
      </c>
      <c r="J543" s="7" t="str">
        <f>IFERROR(__xludf.DUMMYFUNCTION("IF($C543 = """", """", IFNA(
  ROWS(
    FILTER(
      Events!$G$2:$G1000,
      Events!$B$2:$B1000 &gt;= TODAY() - 90,
      REGEXMATCH(
        "","" &amp; SUBSTITUTE(Events!$G$2:$G1000, "" "", """") &amp; "","",
        "","" &amp; SUBSTITUTE($C543, "" "", """") &amp; """&amp;",""
      )
    )
  ),
0)
)"),"")</f>
        <v/>
      </c>
      <c r="K543" s="7" t="str">
        <f t="shared" si="2"/>
        <v>#N/A</v>
      </c>
    </row>
    <row r="544">
      <c r="C544" s="6" t="str">
        <f t="shared" si="1"/>
        <v/>
      </c>
      <c r="J544" s="7" t="str">
        <f>IFERROR(__xludf.DUMMYFUNCTION("IF($C544 = """", """", IFNA(
  ROWS(
    FILTER(
      Events!$G$2:$G1000,
      Events!$B$2:$B1000 &gt;= TODAY() - 90,
      REGEXMATCH(
        "","" &amp; SUBSTITUTE(Events!$G$2:$G1000, "" "", """") &amp; "","",
        "","" &amp; SUBSTITUTE($C544, "" "", """") &amp; """&amp;",""
      )
    )
  ),
0)
)"),"")</f>
        <v/>
      </c>
      <c r="K544" s="7" t="str">
        <f t="shared" si="2"/>
        <v>#N/A</v>
      </c>
    </row>
    <row r="545">
      <c r="C545" s="6" t="str">
        <f t="shared" si="1"/>
        <v/>
      </c>
      <c r="J545" s="7" t="str">
        <f>IFERROR(__xludf.DUMMYFUNCTION("IF($C545 = """", """", IFNA(
  ROWS(
    FILTER(
      Events!$G$2:$G1000,
      Events!$B$2:$B1000 &gt;= TODAY() - 90,
      REGEXMATCH(
        "","" &amp; SUBSTITUTE(Events!$G$2:$G1000, "" "", """") &amp; "","",
        "","" &amp; SUBSTITUTE($C545, "" "", """") &amp; """&amp;",""
      )
    )
  ),
0)
)"),"")</f>
        <v/>
      </c>
      <c r="K545" s="7" t="str">
        <f t="shared" si="2"/>
        <v>#N/A</v>
      </c>
    </row>
    <row r="546">
      <c r="C546" s="6" t="str">
        <f t="shared" si="1"/>
        <v/>
      </c>
      <c r="J546" s="7" t="str">
        <f>IFERROR(__xludf.DUMMYFUNCTION("IF($C546 = """", """", IFNA(
  ROWS(
    FILTER(
      Events!$G$2:$G1000,
      Events!$B$2:$B1000 &gt;= TODAY() - 90,
      REGEXMATCH(
        "","" &amp; SUBSTITUTE(Events!$G$2:$G1000, "" "", """") &amp; "","",
        "","" &amp; SUBSTITUTE($C546, "" "", """") &amp; """&amp;",""
      )
    )
  ),
0)
)"),"")</f>
        <v/>
      </c>
      <c r="K546" s="7" t="str">
        <f t="shared" si="2"/>
        <v>#N/A</v>
      </c>
    </row>
    <row r="547">
      <c r="C547" s="6" t="str">
        <f t="shared" si="1"/>
        <v/>
      </c>
      <c r="J547" s="7" t="str">
        <f>IFERROR(__xludf.DUMMYFUNCTION("IF($C547 = """", """", IFNA(
  ROWS(
    FILTER(
      Events!$G$2:$G1000,
      Events!$B$2:$B1000 &gt;= TODAY() - 90,
      REGEXMATCH(
        "","" &amp; SUBSTITUTE(Events!$G$2:$G1000, "" "", """") &amp; "","",
        "","" &amp; SUBSTITUTE($C547, "" "", """") &amp; """&amp;",""
      )
    )
  ),
0)
)"),"")</f>
        <v/>
      </c>
      <c r="K547" s="7" t="str">
        <f t="shared" si="2"/>
        <v>#N/A</v>
      </c>
    </row>
    <row r="548">
      <c r="C548" s="6" t="str">
        <f t="shared" si="1"/>
        <v/>
      </c>
      <c r="J548" s="7" t="str">
        <f>IFERROR(__xludf.DUMMYFUNCTION("IF($C548 = """", """", IFNA(
  ROWS(
    FILTER(
      Events!$G$2:$G1000,
      Events!$B$2:$B1000 &gt;= TODAY() - 90,
      REGEXMATCH(
        "","" &amp; SUBSTITUTE(Events!$G$2:$G1000, "" "", """") &amp; "","",
        "","" &amp; SUBSTITUTE($C548, "" "", """") &amp; """&amp;",""
      )
    )
  ),
0)
)"),"")</f>
        <v/>
      </c>
      <c r="K548" s="7" t="str">
        <f t="shared" si="2"/>
        <v>#N/A</v>
      </c>
    </row>
    <row r="549">
      <c r="C549" s="6" t="str">
        <f t="shared" si="1"/>
        <v/>
      </c>
      <c r="J549" s="7" t="str">
        <f>IFERROR(__xludf.DUMMYFUNCTION("IF($C549 = """", """", IFNA(
  ROWS(
    FILTER(
      Events!$G$2:$G1000,
      Events!$B$2:$B1000 &gt;= TODAY() - 90,
      REGEXMATCH(
        "","" &amp; SUBSTITUTE(Events!$G$2:$G1000, "" "", """") &amp; "","",
        "","" &amp; SUBSTITUTE($C549, "" "", """") &amp; """&amp;",""
      )
    )
  ),
0)
)"),"")</f>
        <v/>
      </c>
      <c r="K549" s="7" t="str">
        <f t="shared" si="2"/>
        <v>#N/A</v>
      </c>
    </row>
    <row r="550">
      <c r="C550" s="6" t="str">
        <f t="shared" si="1"/>
        <v/>
      </c>
      <c r="J550" s="7" t="str">
        <f>IFERROR(__xludf.DUMMYFUNCTION("IF($C550 = """", """", IFNA(
  ROWS(
    FILTER(
      Events!$G$2:$G1000,
      Events!$B$2:$B1000 &gt;= TODAY() - 90,
      REGEXMATCH(
        "","" &amp; SUBSTITUTE(Events!$G$2:$G1000, "" "", """") &amp; "","",
        "","" &amp; SUBSTITUTE($C550, "" "", """") &amp; """&amp;",""
      )
    )
  ),
0)
)"),"")</f>
        <v/>
      </c>
      <c r="K550" s="7" t="str">
        <f t="shared" si="2"/>
        <v>#N/A</v>
      </c>
    </row>
    <row r="551">
      <c r="C551" s="6" t="str">
        <f t="shared" si="1"/>
        <v/>
      </c>
      <c r="J551" s="7" t="str">
        <f>IFERROR(__xludf.DUMMYFUNCTION("IF($C551 = """", """", IFNA(
  ROWS(
    FILTER(
      Events!$G$2:$G1000,
      Events!$B$2:$B1000 &gt;= TODAY() - 90,
      REGEXMATCH(
        "","" &amp; SUBSTITUTE(Events!$G$2:$G1000, "" "", """") &amp; "","",
        "","" &amp; SUBSTITUTE($C551, "" "", """") &amp; """&amp;",""
      )
    )
  ),
0)
)"),"")</f>
        <v/>
      </c>
      <c r="K551" s="7" t="str">
        <f t="shared" si="2"/>
        <v>#N/A</v>
      </c>
    </row>
    <row r="552">
      <c r="C552" s="6" t="str">
        <f t="shared" si="1"/>
        <v/>
      </c>
      <c r="J552" s="7" t="str">
        <f>IFERROR(__xludf.DUMMYFUNCTION("IF($C552 = """", """", IFNA(
  ROWS(
    FILTER(
      Events!$G$2:$G1000,
      Events!$B$2:$B1000 &gt;= TODAY() - 90,
      REGEXMATCH(
        "","" &amp; SUBSTITUTE(Events!$G$2:$G1000, "" "", """") &amp; "","",
        "","" &amp; SUBSTITUTE($C552, "" "", """") &amp; """&amp;",""
      )
    )
  ),
0)
)"),"")</f>
        <v/>
      </c>
      <c r="K552" s="7" t="str">
        <f t="shared" si="2"/>
        <v>#N/A</v>
      </c>
    </row>
    <row r="553">
      <c r="C553" s="6" t="str">
        <f t="shared" si="1"/>
        <v/>
      </c>
      <c r="J553" s="7" t="str">
        <f>IFERROR(__xludf.DUMMYFUNCTION("IF($C553 = """", """", IFNA(
  ROWS(
    FILTER(
      Events!$G$2:$G1000,
      Events!$B$2:$B1000 &gt;= TODAY() - 90,
      REGEXMATCH(
        "","" &amp; SUBSTITUTE(Events!$G$2:$G1000, "" "", """") &amp; "","",
        "","" &amp; SUBSTITUTE($C553, "" "", """") &amp; """&amp;",""
      )
    )
  ),
0)
)"),"")</f>
        <v/>
      </c>
      <c r="K553" s="7" t="str">
        <f t="shared" si="2"/>
        <v>#N/A</v>
      </c>
    </row>
    <row r="554">
      <c r="C554" s="6" t="str">
        <f t="shared" si="1"/>
        <v/>
      </c>
      <c r="J554" s="7" t="str">
        <f>IFERROR(__xludf.DUMMYFUNCTION("IF($C554 = """", """", IFNA(
  ROWS(
    FILTER(
      Events!$G$2:$G1000,
      Events!$B$2:$B1000 &gt;= TODAY() - 90,
      REGEXMATCH(
        "","" &amp; SUBSTITUTE(Events!$G$2:$G1000, "" "", """") &amp; "","",
        "","" &amp; SUBSTITUTE($C554, "" "", """") &amp; """&amp;",""
      )
    )
  ),
0)
)"),"")</f>
        <v/>
      </c>
      <c r="K554" s="7" t="str">
        <f t="shared" si="2"/>
        <v>#N/A</v>
      </c>
    </row>
    <row r="555">
      <c r="C555" s="6" t="str">
        <f t="shared" si="1"/>
        <v/>
      </c>
      <c r="J555" s="7" t="str">
        <f>IFERROR(__xludf.DUMMYFUNCTION("IF($C555 = """", """", IFNA(
  ROWS(
    FILTER(
      Events!$G$2:$G1000,
      Events!$B$2:$B1000 &gt;= TODAY() - 90,
      REGEXMATCH(
        "","" &amp; SUBSTITUTE(Events!$G$2:$G1000, "" "", """") &amp; "","",
        "","" &amp; SUBSTITUTE($C555, "" "", """") &amp; """&amp;",""
      )
    )
  ),
0)
)"),"")</f>
        <v/>
      </c>
      <c r="K555" s="7" t="str">
        <f t="shared" si="2"/>
        <v>#N/A</v>
      </c>
    </row>
    <row r="556">
      <c r="C556" s="6" t="str">
        <f t="shared" si="1"/>
        <v/>
      </c>
      <c r="J556" s="7" t="str">
        <f>IFERROR(__xludf.DUMMYFUNCTION("IF($C556 = """", """", IFNA(
  ROWS(
    FILTER(
      Events!$G$2:$G1000,
      Events!$B$2:$B1000 &gt;= TODAY() - 90,
      REGEXMATCH(
        "","" &amp; SUBSTITUTE(Events!$G$2:$G1000, "" "", """") &amp; "","",
        "","" &amp; SUBSTITUTE($C556, "" "", """") &amp; """&amp;",""
      )
    )
  ),
0)
)"),"")</f>
        <v/>
      </c>
      <c r="K556" s="7" t="str">
        <f t="shared" si="2"/>
        <v>#N/A</v>
      </c>
    </row>
    <row r="557">
      <c r="C557" s="6" t="str">
        <f t="shared" si="1"/>
        <v/>
      </c>
      <c r="J557" s="7" t="str">
        <f>IFERROR(__xludf.DUMMYFUNCTION("IF($C557 = """", """", IFNA(
  ROWS(
    FILTER(
      Events!$G$2:$G1000,
      Events!$B$2:$B1000 &gt;= TODAY() - 90,
      REGEXMATCH(
        "","" &amp; SUBSTITUTE(Events!$G$2:$G1000, "" "", """") &amp; "","",
        "","" &amp; SUBSTITUTE($C557, "" "", """") &amp; """&amp;",""
      )
    )
  ),
0)
)"),"")</f>
        <v/>
      </c>
      <c r="K557" s="7" t="str">
        <f t="shared" si="2"/>
        <v>#N/A</v>
      </c>
    </row>
    <row r="558">
      <c r="C558" s="6" t="str">
        <f t="shared" si="1"/>
        <v/>
      </c>
      <c r="J558" s="7" t="str">
        <f>IFERROR(__xludf.DUMMYFUNCTION("IF($C558 = """", """", IFNA(
  ROWS(
    FILTER(
      Events!$G$2:$G1000,
      Events!$B$2:$B1000 &gt;= TODAY() - 90,
      REGEXMATCH(
        "","" &amp; SUBSTITUTE(Events!$G$2:$G1000, "" "", """") &amp; "","",
        "","" &amp; SUBSTITUTE($C558, "" "", """") &amp; """&amp;",""
      )
    )
  ),
0)
)"),"")</f>
        <v/>
      </c>
      <c r="K558" s="7" t="str">
        <f t="shared" si="2"/>
        <v>#N/A</v>
      </c>
    </row>
    <row r="559">
      <c r="C559" s="6" t="str">
        <f t="shared" si="1"/>
        <v/>
      </c>
      <c r="J559" s="7" t="str">
        <f>IFERROR(__xludf.DUMMYFUNCTION("IF($C559 = """", """", IFNA(
  ROWS(
    FILTER(
      Events!$G$2:$G1000,
      Events!$B$2:$B1000 &gt;= TODAY() - 90,
      REGEXMATCH(
        "","" &amp; SUBSTITUTE(Events!$G$2:$G1000, "" "", """") &amp; "","",
        "","" &amp; SUBSTITUTE($C559, "" "", """") &amp; """&amp;",""
      )
    )
  ),
0)
)"),"")</f>
        <v/>
      </c>
      <c r="K559" s="7" t="str">
        <f t="shared" si="2"/>
        <v>#N/A</v>
      </c>
    </row>
    <row r="560">
      <c r="C560" s="6" t="str">
        <f t="shared" si="1"/>
        <v/>
      </c>
      <c r="J560" s="7" t="str">
        <f>IFERROR(__xludf.DUMMYFUNCTION("IF($C560 = """", """", IFNA(
  ROWS(
    FILTER(
      Events!$G$2:$G1000,
      Events!$B$2:$B1000 &gt;= TODAY() - 90,
      REGEXMATCH(
        "","" &amp; SUBSTITUTE(Events!$G$2:$G1000, "" "", """") &amp; "","",
        "","" &amp; SUBSTITUTE($C560, "" "", """") &amp; """&amp;",""
      )
    )
  ),
0)
)"),"")</f>
        <v/>
      </c>
      <c r="K560" s="7" t="str">
        <f t="shared" si="2"/>
        <v>#N/A</v>
      </c>
    </row>
    <row r="561">
      <c r="C561" s="6" t="str">
        <f t="shared" si="1"/>
        <v/>
      </c>
      <c r="J561" s="7" t="str">
        <f>IFERROR(__xludf.DUMMYFUNCTION("IF($C561 = """", """", IFNA(
  ROWS(
    FILTER(
      Events!$G$2:$G1000,
      Events!$B$2:$B1000 &gt;= TODAY() - 90,
      REGEXMATCH(
        "","" &amp; SUBSTITUTE(Events!$G$2:$G1000, "" "", """") &amp; "","",
        "","" &amp; SUBSTITUTE($C561, "" "", """") &amp; """&amp;",""
      )
    )
  ),
0)
)"),"")</f>
        <v/>
      </c>
      <c r="K561" s="7" t="str">
        <f t="shared" si="2"/>
        <v>#N/A</v>
      </c>
    </row>
    <row r="562">
      <c r="C562" s="6" t="str">
        <f t="shared" si="1"/>
        <v/>
      </c>
      <c r="J562" s="7" t="str">
        <f>IFERROR(__xludf.DUMMYFUNCTION("IF($C562 = """", """", IFNA(
  ROWS(
    FILTER(
      Events!$G$2:$G1000,
      Events!$B$2:$B1000 &gt;= TODAY() - 90,
      REGEXMATCH(
        "","" &amp; SUBSTITUTE(Events!$G$2:$G1000, "" "", """") &amp; "","",
        "","" &amp; SUBSTITUTE($C562, "" "", """") &amp; """&amp;",""
      )
    )
  ),
0)
)"),"")</f>
        <v/>
      </c>
      <c r="K562" s="7" t="str">
        <f t="shared" si="2"/>
        <v>#N/A</v>
      </c>
    </row>
    <row r="563">
      <c r="C563" s="6" t="str">
        <f t="shared" si="1"/>
        <v/>
      </c>
      <c r="J563" s="7" t="str">
        <f>IFERROR(__xludf.DUMMYFUNCTION("IF($C563 = """", """", IFNA(
  ROWS(
    FILTER(
      Events!$G$2:$G1000,
      Events!$B$2:$B1000 &gt;= TODAY() - 90,
      REGEXMATCH(
        "","" &amp; SUBSTITUTE(Events!$G$2:$G1000, "" "", """") &amp; "","",
        "","" &amp; SUBSTITUTE($C563, "" "", """") &amp; """&amp;",""
      )
    )
  ),
0)
)"),"")</f>
        <v/>
      </c>
      <c r="K563" s="7" t="str">
        <f t="shared" si="2"/>
        <v>#N/A</v>
      </c>
    </row>
    <row r="564">
      <c r="C564" s="6" t="str">
        <f t="shared" si="1"/>
        <v/>
      </c>
      <c r="J564" s="7" t="str">
        <f>IFERROR(__xludf.DUMMYFUNCTION("IF($C564 = """", """", IFNA(
  ROWS(
    FILTER(
      Events!$G$2:$G1000,
      Events!$B$2:$B1000 &gt;= TODAY() - 90,
      REGEXMATCH(
        "","" &amp; SUBSTITUTE(Events!$G$2:$G1000, "" "", """") &amp; "","",
        "","" &amp; SUBSTITUTE($C564, "" "", """") &amp; """&amp;",""
      )
    )
  ),
0)
)"),"")</f>
        <v/>
      </c>
      <c r="K564" s="7" t="str">
        <f t="shared" si="2"/>
        <v>#N/A</v>
      </c>
    </row>
    <row r="565">
      <c r="C565" s="6" t="str">
        <f t="shared" si="1"/>
        <v/>
      </c>
      <c r="J565" s="7" t="str">
        <f>IFERROR(__xludf.DUMMYFUNCTION("IF($C565 = """", """", IFNA(
  ROWS(
    FILTER(
      Events!$G$2:$G1000,
      Events!$B$2:$B1000 &gt;= TODAY() - 90,
      REGEXMATCH(
        "","" &amp; SUBSTITUTE(Events!$G$2:$G1000, "" "", """") &amp; "","",
        "","" &amp; SUBSTITUTE($C565, "" "", """") &amp; """&amp;",""
      )
    )
  ),
0)
)"),"")</f>
        <v/>
      </c>
      <c r="K565" s="7" t="str">
        <f t="shared" si="2"/>
        <v>#N/A</v>
      </c>
    </row>
    <row r="566">
      <c r="C566" s="6" t="str">
        <f t="shared" si="1"/>
        <v/>
      </c>
      <c r="J566" s="7" t="str">
        <f>IFERROR(__xludf.DUMMYFUNCTION("IF($C566 = """", """", IFNA(
  ROWS(
    FILTER(
      Events!$G$2:$G1000,
      Events!$B$2:$B1000 &gt;= TODAY() - 90,
      REGEXMATCH(
        "","" &amp; SUBSTITUTE(Events!$G$2:$G1000, "" "", """") &amp; "","",
        "","" &amp; SUBSTITUTE($C566, "" "", """") &amp; """&amp;",""
      )
    )
  ),
0)
)"),"")</f>
        <v/>
      </c>
      <c r="K566" s="7" t="str">
        <f t="shared" si="2"/>
        <v>#N/A</v>
      </c>
    </row>
    <row r="567">
      <c r="C567" s="6" t="str">
        <f t="shared" si="1"/>
        <v/>
      </c>
      <c r="J567" s="7" t="str">
        <f>IFERROR(__xludf.DUMMYFUNCTION("IF($C567 = """", """", IFNA(
  ROWS(
    FILTER(
      Events!$G$2:$G1000,
      Events!$B$2:$B1000 &gt;= TODAY() - 90,
      REGEXMATCH(
        "","" &amp; SUBSTITUTE(Events!$G$2:$G1000, "" "", """") &amp; "","",
        "","" &amp; SUBSTITUTE($C567, "" "", """") &amp; """&amp;",""
      )
    )
  ),
0)
)"),"")</f>
        <v/>
      </c>
      <c r="K567" s="7" t="str">
        <f t="shared" si="2"/>
        <v>#N/A</v>
      </c>
    </row>
    <row r="568">
      <c r="C568" s="6" t="str">
        <f t="shared" si="1"/>
        <v/>
      </c>
      <c r="J568" s="7" t="str">
        <f>IFERROR(__xludf.DUMMYFUNCTION("IF($C568 = """", """", IFNA(
  ROWS(
    FILTER(
      Events!$G$2:$G1000,
      Events!$B$2:$B1000 &gt;= TODAY() - 90,
      REGEXMATCH(
        "","" &amp; SUBSTITUTE(Events!$G$2:$G1000, "" "", """") &amp; "","",
        "","" &amp; SUBSTITUTE($C568, "" "", """") &amp; """&amp;",""
      )
    )
  ),
0)
)"),"")</f>
        <v/>
      </c>
      <c r="K568" s="7" t="str">
        <f t="shared" si="2"/>
        <v>#N/A</v>
      </c>
    </row>
    <row r="569">
      <c r="C569" s="6" t="str">
        <f t="shared" si="1"/>
        <v/>
      </c>
      <c r="J569" s="7" t="str">
        <f>IFERROR(__xludf.DUMMYFUNCTION("IF($C569 = """", """", IFNA(
  ROWS(
    FILTER(
      Events!$G$2:$G1000,
      Events!$B$2:$B1000 &gt;= TODAY() - 90,
      REGEXMATCH(
        "","" &amp; SUBSTITUTE(Events!$G$2:$G1000, "" "", """") &amp; "","",
        "","" &amp; SUBSTITUTE($C569, "" "", """") &amp; """&amp;",""
      )
    )
  ),
0)
)"),"")</f>
        <v/>
      </c>
      <c r="K569" s="7" t="str">
        <f t="shared" si="2"/>
        <v>#N/A</v>
      </c>
    </row>
    <row r="570">
      <c r="C570" s="6" t="str">
        <f t="shared" si="1"/>
        <v/>
      </c>
      <c r="J570" s="7" t="str">
        <f>IFERROR(__xludf.DUMMYFUNCTION("IF($C570 = """", """", IFNA(
  ROWS(
    FILTER(
      Events!$G$2:$G1000,
      Events!$B$2:$B1000 &gt;= TODAY() - 90,
      REGEXMATCH(
        "","" &amp; SUBSTITUTE(Events!$G$2:$G1000, "" "", """") &amp; "","",
        "","" &amp; SUBSTITUTE($C570, "" "", """") &amp; """&amp;",""
      )
    )
  ),
0)
)"),"")</f>
        <v/>
      </c>
      <c r="K570" s="7" t="str">
        <f t="shared" si="2"/>
        <v>#N/A</v>
      </c>
    </row>
    <row r="571">
      <c r="C571" s="6" t="str">
        <f t="shared" si="1"/>
        <v/>
      </c>
      <c r="J571" s="7" t="str">
        <f>IFERROR(__xludf.DUMMYFUNCTION("IF($C571 = """", """", IFNA(
  ROWS(
    FILTER(
      Events!$G$2:$G1000,
      Events!$B$2:$B1000 &gt;= TODAY() - 90,
      REGEXMATCH(
        "","" &amp; SUBSTITUTE(Events!$G$2:$G1000, "" "", """") &amp; "","",
        "","" &amp; SUBSTITUTE($C571, "" "", """") &amp; """&amp;",""
      )
    )
  ),
0)
)"),"")</f>
        <v/>
      </c>
      <c r="K571" s="7" t="str">
        <f t="shared" si="2"/>
        <v>#N/A</v>
      </c>
    </row>
    <row r="572">
      <c r="C572" s="6" t="str">
        <f t="shared" si="1"/>
        <v/>
      </c>
      <c r="J572" s="7" t="str">
        <f>IFERROR(__xludf.DUMMYFUNCTION("IF($C572 = """", """", IFNA(
  ROWS(
    FILTER(
      Events!$G$2:$G1000,
      Events!$B$2:$B1000 &gt;= TODAY() - 90,
      REGEXMATCH(
        "","" &amp; SUBSTITUTE(Events!$G$2:$G1000, "" "", """") &amp; "","",
        "","" &amp; SUBSTITUTE($C572, "" "", """") &amp; """&amp;",""
      )
    )
  ),
0)
)"),"")</f>
        <v/>
      </c>
      <c r="K572" s="7" t="str">
        <f t="shared" si="2"/>
        <v>#N/A</v>
      </c>
    </row>
    <row r="573">
      <c r="C573" s="6" t="str">
        <f t="shared" si="1"/>
        <v/>
      </c>
      <c r="J573" s="7" t="str">
        <f>IFERROR(__xludf.DUMMYFUNCTION("IF($C573 = """", """", IFNA(
  ROWS(
    FILTER(
      Events!$G$2:$G1000,
      Events!$B$2:$B1000 &gt;= TODAY() - 90,
      REGEXMATCH(
        "","" &amp; SUBSTITUTE(Events!$G$2:$G1000, "" "", """") &amp; "","",
        "","" &amp; SUBSTITUTE($C573, "" "", """") &amp; """&amp;",""
      )
    )
  ),
0)
)"),"")</f>
        <v/>
      </c>
      <c r="K573" s="7" t="str">
        <f t="shared" si="2"/>
        <v>#N/A</v>
      </c>
    </row>
    <row r="574">
      <c r="C574" s="6" t="str">
        <f t="shared" si="1"/>
        <v/>
      </c>
      <c r="J574" s="7" t="str">
        <f>IFERROR(__xludf.DUMMYFUNCTION("IF($C574 = """", """", IFNA(
  ROWS(
    FILTER(
      Events!$G$2:$G1000,
      Events!$B$2:$B1000 &gt;= TODAY() - 90,
      REGEXMATCH(
        "","" &amp; SUBSTITUTE(Events!$G$2:$G1000, "" "", """") &amp; "","",
        "","" &amp; SUBSTITUTE($C574, "" "", """") &amp; """&amp;",""
      )
    )
  ),
0)
)"),"")</f>
        <v/>
      </c>
      <c r="K574" s="7" t="str">
        <f t="shared" si="2"/>
        <v>#N/A</v>
      </c>
    </row>
    <row r="575">
      <c r="C575" s="6" t="str">
        <f t="shared" si="1"/>
        <v/>
      </c>
      <c r="J575" s="7" t="str">
        <f>IFERROR(__xludf.DUMMYFUNCTION("IF($C575 = """", """", IFNA(
  ROWS(
    FILTER(
      Events!$G$2:$G1000,
      Events!$B$2:$B1000 &gt;= TODAY() - 90,
      REGEXMATCH(
        "","" &amp; SUBSTITUTE(Events!$G$2:$G1000, "" "", """") &amp; "","",
        "","" &amp; SUBSTITUTE($C575, "" "", """") &amp; """&amp;",""
      )
    )
  ),
0)
)"),"")</f>
        <v/>
      </c>
      <c r="K575" s="7" t="str">
        <f t="shared" si="2"/>
        <v>#N/A</v>
      </c>
    </row>
    <row r="576">
      <c r="C576" s="6" t="str">
        <f t="shared" si="1"/>
        <v/>
      </c>
      <c r="J576" s="7" t="str">
        <f>IFERROR(__xludf.DUMMYFUNCTION("IF($C576 = """", """", IFNA(
  ROWS(
    FILTER(
      Events!$G$2:$G1000,
      Events!$B$2:$B1000 &gt;= TODAY() - 90,
      REGEXMATCH(
        "","" &amp; SUBSTITUTE(Events!$G$2:$G1000, "" "", """") &amp; "","",
        "","" &amp; SUBSTITUTE($C576, "" "", """") &amp; """&amp;",""
      )
    )
  ),
0)
)"),"")</f>
        <v/>
      </c>
      <c r="K576" s="7" t="str">
        <f t="shared" si="2"/>
        <v>#N/A</v>
      </c>
    </row>
    <row r="577">
      <c r="C577" s="6" t="str">
        <f t="shared" si="1"/>
        <v/>
      </c>
      <c r="J577" s="7" t="str">
        <f>IFERROR(__xludf.DUMMYFUNCTION("IF($C577 = """", """", IFNA(
  ROWS(
    FILTER(
      Events!$G$2:$G1000,
      Events!$B$2:$B1000 &gt;= TODAY() - 90,
      REGEXMATCH(
        "","" &amp; SUBSTITUTE(Events!$G$2:$G1000, "" "", """") &amp; "","",
        "","" &amp; SUBSTITUTE($C577, "" "", """") &amp; """&amp;",""
      )
    )
  ),
0)
)"),"")</f>
        <v/>
      </c>
      <c r="K577" s="7" t="str">
        <f t="shared" si="2"/>
        <v>#N/A</v>
      </c>
    </row>
    <row r="578">
      <c r="C578" s="6" t="str">
        <f t="shared" si="1"/>
        <v/>
      </c>
      <c r="J578" s="7" t="str">
        <f>IFERROR(__xludf.DUMMYFUNCTION("IF($C578 = """", """", IFNA(
  ROWS(
    FILTER(
      Events!$G$2:$G1000,
      Events!$B$2:$B1000 &gt;= TODAY() - 90,
      REGEXMATCH(
        "","" &amp; SUBSTITUTE(Events!$G$2:$G1000, "" "", """") &amp; "","",
        "","" &amp; SUBSTITUTE($C578, "" "", """") &amp; """&amp;",""
      )
    )
  ),
0)
)"),"")</f>
        <v/>
      </c>
      <c r="K578" s="7" t="str">
        <f t="shared" si="2"/>
        <v>#N/A</v>
      </c>
    </row>
    <row r="579">
      <c r="C579" s="6" t="str">
        <f t="shared" si="1"/>
        <v/>
      </c>
      <c r="J579" s="7" t="str">
        <f>IFERROR(__xludf.DUMMYFUNCTION("IF($C579 = """", """", IFNA(
  ROWS(
    FILTER(
      Events!$G$2:$G1000,
      Events!$B$2:$B1000 &gt;= TODAY() - 90,
      REGEXMATCH(
        "","" &amp; SUBSTITUTE(Events!$G$2:$G1000, "" "", """") &amp; "","",
        "","" &amp; SUBSTITUTE($C579, "" "", """") &amp; """&amp;",""
      )
    )
  ),
0)
)"),"")</f>
        <v/>
      </c>
      <c r="K579" s="7" t="str">
        <f t="shared" si="2"/>
        <v>#N/A</v>
      </c>
    </row>
    <row r="580">
      <c r="C580" s="6" t="str">
        <f t="shared" si="1"/>
        <v/>
      </c>
      <c r="J580" s="7" t="str">
        <f>IFERROR(__xludf.DUMMYFUNCTION("IF($C580 = """", """", IFNA(
  ROWS(
    FILTER(
      Events!$G$2:$G1000,
      Events!$B$2:$B1000 &gt;= TODAY() - 90,
      REGEXMATCH(
        "","" &amp; SUBSTITUTE(Events!$G$2:$G1000, "" "", """") &amp; "","",
        "","" &amp; SUBSTITUTE($C580, "" "", """") &amp; """&amp;",""
      )
    )
  ),
0)
)"),"")</f>
        <v/>
      </c>
      <c r="K580" s="7" t="str">
        <f t="shared" si="2"/>
        <v>#N/A</v>
      </c>
    </row>
    <row r="581">
      <c r="C581" s="6" t="str">
        <f t="shared" si="1"/>
        <v/>
      </c>
      <c r="J581" s="7" t="str">
        <f>IFERROR(__xludf.DUMMYFUNCTION("IF($C581 = """", """", IFNA(
  ROWS(
    FILTER(
      Events!$G$2:$G1000,
      Events!$B$2:$B1000 &gt;= TODAY() - 90,
      REGEXMATCH(
        "","" &amp; SUBSTITUTE(Events!$G$2:$G1000, "" "", """") &amp; "","",
        "","" &amp; SUBSTITUTE($C581, "" "", """") &amp; """&amp;",""
      )
    )
  ),
0)
)"),"")</f>
        <v/>
      </c>
      <c r="K581" s="7" t="str">
        <f t="shared" si="2"/>
        <v>#N/A</v>
      </c>
    </row>
    <row r="582">
      <c r="C582" s="6" t="str">
        <f t="shared" si="1"/>
        <v/>
      </c>
      <c r="J582" s="7" t="str">
        <f>IFERROR(__xludf.DUMMYFUNCTION("IF($C582 = """", """", IFNA(
  ROWS(
    FILTER(
      Events!$G$2:$G1000,
      Events!$B$2:$B1000 &gt;= TODAY() - 90,
      REGEXMATCH(
        "","" &amp; SUBSTITUTE(Events!$G$2:$G1000, "" "", """") &amp; "","",
        "","" &amp; SUBSTITUTE($C582, "" "", """") &amp; """&amp;",""
      )
    )
  ),
0)
)"),"")</f>
        <v/>
      </c>
      <c r="K582" s="7" t="str">
        <f t="shared" si="2"/>
        <v>#N/A</v>
      </c>
    </row>
    <row r="583">
      <c r="C583" s="6" t="str">
        <f t="shared" si="1"/>
        <v/>
      </c>
      <c r="J583" s="7" t="str">
        <f>IFERROR(__xludf.DUMMYFUNCTION("IF($C583 = """", """", IFNA(
  ROWS(
    FILTER(
      Events!$G$2:$G1000,
      Events!$B$2:$B1000 &gt;= TODAY() - 90,
      REGEXMATCH(
        "","" &amp; SUBSTITUTE(Events!$G$2:$G1000, "" "", """") &amp; "","",
        "","" &amp; SUBSTITUTE($C583, "" "", """") &amp; """&amp;",""
      )
    )
  ),
0)
)"),"")</f>
        <v/>
      </c>
      <c r="K583" s="7" t="str">
        <f t="shared" si="2"/>
        <v>#N/A</v>
      </c>
    </row>
    <row r="584">
      <c r="C584" s="6" t="str">
        <f t="shared" si="1"/>
        <v/>
      </c>
      <c r="J584" s="7" t="str">
        <f>IFERROR(__xludf.DUMMYFUNCTION("IF($C584 = """", """", IFNA(
  ROWS(
    FILTER(
      Events!$G$2:$G1000,
      Events!$B$2:$B1000 &gt;= TODAY() - 90,
      REGEXMATCH(
        "","" &amp; SUBSTITUTE(Events!$G$2:$G1000, "" "", """") &amp; "","",
        "","" &amp; SUBSTITUTE($C584, "" "", """") &amp; """&amp;",""
      )
    )
  ),
0)
)"),"")</f>
        <v/>
      </c>
      <c r="K584" s="7" t="str">
        <f t="shared" si="2"/>
        <v>#N/A</v>
      </c>
    </row>
    <row r="585">
      <c r="C585" s="6" t="str">
        <f t="shared" si="1"/>
        <v/>
      </c>
      <c r="J585" s="7" t="str">
        <f>IFERROR(__xludf.DUMMYFUNCTION("IF($C585 = """", """", IFNA(
  ROWS(
    FILTER(
      Events!$G$2:$G1000,
      Events!$B$2:$B1000 &gt;= TODAY() - 90,
      REGEXMATCH(
        "","" &amp; SUBSTITUTE(Events!$G$2:$G1000, "" "", """") &amp; "","",
        "","" &amp; SUBSTITUTE($C585, "" "", """") &amp; """&amp;",""
      )
    )
  ),
0)
)"),"")</f>
        <v/>
      </c>
      <c r="K585" s="7" t="str">
        <f t="shared" si="2"/>
        <v>#N/A</v>
      </c>
    </row>
    <row r="586">
      <c r="C586" s="6" t="str">
        <f t="shared" si="1"/>
        <v/>
      </c>
      <c r="J586" s="7" t="str">
        <f>IFERROR(__xludf.DUMMYFUNCTION("IF($C586 = """", """", IFNA(
  ROWS(
    FILTER(
      Events!$G$2:$G1000,
      Events!$B$2:$B1000 &gt;= TODAY() - 90,
      REGEXMATCH(
        "","" &amp; SUBSTITUTE(Events!$G$2:$G1000, "" "", """") &amp; "","",
        "","" &amp; SUBSTITUTE($C586, "" "", """") &amp; """&amp;",""
      )
    )
  ),
0)
)"),"")</f>
        <v/>
      </c>
      <c r="K586" s="7" t="str">
        <f t="shared" si="2"/>
        <v>#N/A</v>
      </c>
    </row>
    <row r="587">
      <c r="C587" s="6" t="str">
        <f t="shared" si="1"/>
        <v/>
      </c>
      <c r="J587" s="7" t="str">
        <f>IFERROR(__xludf.DUMMYFUNCTION("IF($C587 = """", """", IFNA(
  ROWS(
    FILTER(
      Events!$G$2:$G1000,
      Events!$B$2:$B1000 &gt;= TODAY() - 90,
      REGEXMATCH(
        "","" &amp; SUBSTITUTE(Events!$G$2:$G1000, "" "", """") &amp; "","",
        "","" &amp; SUBSTITUTE($C587, "" "", """") &amp; """&amp;",""
      )
    )
  ),
0)
)"),"")</f>
        <v/>
      </c>
      <c r="K587" s="7" t="str">
        <f t="shared" si="2"/>
        <v>#N/A</v>
      </c>
    </row>
    <row r="588">
      <c r="C588" s="6" t="str">
        <f t="shared" si="1"/>
        <v/>
      </c>
      <c r="J588" s="7" t="str">
        <f>IFERROR(__xludf.DUMMYFUNCTION("IF($C588 = """", """", IFNA(
  ROWS(
    FILTER(
      Events!$G$2:$G1000,
      Events!$B$2:$B1000 &gt;= TODAY() - 90,
      REGEXMATCH(
        "","" &amp; SUBSTITUTE(Events!$G$2:$G1000, "" "", """") &amp; "","",
        "","" &amp; SUBSTITUTE($C588, "" "", """") &amp; """&amp;",""
      )
    )
  ),
0)
)"),"")</f>
        <v/>
      </c>
      <c r="K588" s="7" t="str">
        <f t="shared" si="2"/>
        <v>#N/A</v>
      </c>
    </row>
    <row r="589">
      <c r="C589" s="6" t="str">
        <f t="shared" si="1"/>
        <v/>
      </c>
      <c r="J589" s="7" t="str">
        <f>IFERROR(__xludf.DUMMYFUNCTION("IF($C589 = """", """", IFNA(
  ROWS(
    FILTER(
      Events!$G$2:$G1000,
      Events!$B$2:$B1000 &gt;= TODAY() - 90,
      REGEXMATCH(
        "","" &amp; SUBSTITUTE(Events!$G$2:$G1000, "" "", """") &amp; "","",
        "","" &amp; SUBSTITUTE($C589, "" "", """") &amp; """&amp;",""
      )
    )
  ),
0)
)"),"")</f>
        <v/>
      </c>
      <c r="K589" s="7" t="str">
        <f t="shared" si="2"/>
        <v>#N/A</v>
      </c>
    </row>
    <row r="590">
      <c r="C590" s="6" t="str">
        <f t="shared" si="1"/>
        <v/>
      </c>
      <c r="J590" s="7" t="str">
        <f>IFERROR(__xludf.DUMMYFUNCTION("IF($C590 = """", """", IFNA(
  ROWS(
    FILTER(
      Events!$G$2:$G1000,
      Events!$B$2:$B1000 &gt;= TODAY() - 90,
      REGEXMATCH(
        "","" &amp; SUBSTITUTE(Events!$G$2:$G1000, "" "", """") &amp; "","",
        "","" &amp; SUBSTITUTE($C590, "" "", """") &amp; """&amp;",""
      )
    )
  ),
0)
)"),"")</f>
        <v/>
      </c>
      <c r="K590" s="7" t="str">
        <f t="shared" si="2"/>
        <v>#N/A</v>
      </c>
    </row>
    <row r="591">
      <c r="C591" s="6" t="str">
        <f t="shared" si="1"/>
        <v/>
      </c>
      <c r="J591" s="7" t="str">
        <f>IFERROR(__xludf.DUMMYFUNCTION("IF($C591 = """", """", IFNA(
  ROWS(
    FILTER(
      Events!$G$2:$G1000,
      Events!$B$2:$B1000 &gt;= TODAY() - 90,
      REGEXMATCH(
        "","" &amp; SUBSTITUTE(Events!$G$2:$G1000, "" "", """") &amp; "","",
        "","" &amp; SUBSTITUTE($C591, "" "", """") &amp; """&amp;",""
      )
    )
  ),
0)
)"),"")</f>
        <v/>
      </c>
      <c r="K591" s="7" t="str">
        <f t="shared" si="2"/>
        <v>#N/A</v>
      </c>
    </row>
    <row r="592">
      <c r="C592" s="6" t="str">
        <f t="shared" si="1"/>
        <v/>
      </c>
      <c r="J592" s="7" t="str">
        <f>IFERROR(__xludf.DUMMYFUNCTION("IF($C592 = """", """", IFNA(
  ROWS(
    FILTER(
      Events!$G$2:$G1000,
      Events!$B$2:$B1000 &gt;= TODAY() - 90,
      REGEXMATCH(
        "","" &amp; SUBSTITUTE(Events!$G$2:$G1000, "" "", """") &amp; "","",
        "","" &amp; SUBSTITUTE($C592, "" "", """") &amp; """&amp;",""
      )
    )
  ),
0)
)"),"")</f>
        <v/>
      </c>
      <c r="K592" s="7" t="str">
        <f t="shared" si="2"/>
        <v>#N/A</v>
      </c>
    </row>
    <row r="593">
      <c r="C593" s="6" t="str">
        <f t="shared" si="1"/>
        <v/>
      </c>
      <c r="J593" s="7" t="str">
        <f>IFERROR(__xludf.DUMMYFUNCTION("IF($C593 = """", """", IFNA(
  ROWS(
    FILTER(
      Events!$G$2:$G1000,
      Events!$B$2:$B1000 &gt;= TODAY() - 90,
      REGEXMATCH(
        "","" &amp; SUBSTITUTE(Events!$G$2:$G1000, "" "", """") &amp; "","",
        "","" &amp; SUBSTITUTE($C593, "" "", """") &amp; """&amp;",""
      )
    )
  ),
0)
)"),"")</f>
        <v/>
      </c>
      <c r="K593" s="7" t="str">
        <f t="shared" si="2"/>
        <v>#N/A</v>
      </c>
    </row>
    <row r="594">
      <c r="C594" s="6" t="str">
        <f t="shared" si="1"/>
        <v/>
      </c>
      <c r="J594" s="7" t="str">
        <f>IFERROR(__xludf.DUMMYFUNCTION("IF($C594 = """", """", IFNA(
  ROWS(
    FILTER(
      Events!$G$2:$G1000,
      Events!$B$2:$B1000 &gt;= TODAY() - 90,
      REGEXMATCH(
        "","" &amp; SUBSTITUTE(Events!$G$2:$G1000, "" "", """") &amp; "","",
        "","" &amp; SUBSTITUTE($C594, "" "", """") &amp; """&amp;",""
      )
    )
  ),
0)
)"),"")</f>
        <v/>
      </c>
      <c r="K594" s="7" t="str">
        <f t="shared" si="2"/>
        <v>#N/A</v>
      </c>
    </row>
    <row r="595">
      <c r="C595" s="6" t="str">
        <f t="shared" si="1"/>
        <v/>
      </c>
      <c r="J595" s="7" t="str">
        <f>IFERROR(__xludf.DUMMYFUNCTION("IF($C595 = """", """", IFNA(
  ROWS(
    FILTER(
      Events!$G$2:$G1000,
      Events!$B$2:$B1000 &gt;= TODAY() - 90,
      REGEXMATCH(
        "","" &amp; SUBSTITUTE(Events!$G$2:$G1000, "" "", """") &amp; "","",
        "","" &amp; SUBSTITUTE($C595, "" "", """") &amp; """&amp;",""
      )
    )
  ),
0)
)"),"")</f>
        <v/>
      </c>
      <c r="K595" s="7" t="str">
        <f t="shared" si="2"/>
        <v>#N/A</v>
      </c>
    </row>
    <row r="596">
      <c r="C596" s="6" t="str">
        <f t="shared" si="1"/>
        <v/>
      </c>
      <c r="J596" s="7" t="str">
        <f>IFERROR(__xludf.DUMMYFUNCTION("IF($C596 = """", """", IFNA(
  ROWS(
    FILTER(
      Events!$G$2:$G1000,
      Events!$B$2:$B1000 &gt;= TODAY() - 90,
      REGEXMATCH(
        "","" &amp; SUBSTITUTE(Events!$G$2:$G1000, "" "", """") &amp; "","",
        "","" &amp; SUBSTITUTE($C596, "" "", """") &amp; """&amp;",""
      )
    )
  ),
0)
)"),"")</f>
        <v/>
      </c>
      <c r="K596" s="7" t="str">
        <f t="shared" si="2"/>
        <v>#N/A</v>
      </c>
    </row>
    <row r="597">
      <c r="C597" s="6" t="str">
        <f t="shared" si="1"/>
        <v/>
      </c>
      <c r="J597" s="7" t="str">
        <f>IFERROR(__xludf.DUMMYFUNCTION("IF($C597 = """", """", IFNA(
  ROWS(
    FILTER(
      Events!$G$2:$G1000,
      Events!$B$2:$B1000 &gt;= TODAY() - 90,
      REGEXMATCH(
        "","" &amp; SUBSTITUTE(Events!$G$2:$G1000, "" "", """") &amp; "","",
        "","" &amp; SUBSTITUTE($C597, "" "", """") &amp; """&amp;",""
      )
    )
  ),
0)
)"),"")</f>
        <v/>
      </c>
      <c r="K597" s="7" t="str">
        <f t="shared" si="2"/>
        <v>#N/A</v>
      </c>
    </row>
    <row r="598">
      <c r="C598" s="6" t="str">
        <f t="shared" si="1"/>
        <v/>
      </c>
      <c r="J598" s="7" t="str">
        <f>IFERROR(__xludf.DUMMYFUNCTION("IF($C598 = """", """", IFNA(
  ROWS(
    FILTER(
      Events!$G$2:$G1000,
      Events!$B$2:$B1000 &gt;= TODAY() - 90,
      REGEXMATCH(
        "","" &amp; SUBSTITUTE(Events!$G$2:$G1000, "" "", """") &amp; "","",
        "","" &amp; SUBSTITUTE($C598, "" "", """") &amp; """&amp;",""
      )
    )
  ),
0)
)"),"")</f>
        <v/>
      </c>
      <c r="K598" s="7" t="str">
        <f t="shared" si="2"/>
        <v>#N/A</v>
      </c>
    </row>
    <row r="599">
      <c r="C599" s="6" t="str">
        <f t="shared" si="1"/>
        <v/>
      </c>
      <c r="J599" s="7" t="str">
        <f>IFERROR(__xludf.DUMMYFUNCTION("IF($C599 = """", """", IFNA(
  ROWS(
    FILTER(
      Events!$G$2:$G1000,
      Events!$B$2:$B1000 &gt;= TODAY() - 90,
      REGEXMATCH(
        "","" &amp; SUBSTITUTE(Events!$G$2:$G1000, "" "", """") &amp; "","",
        "","" &amp; SUBSTITUTE($C599, "" "", """") &amp; """&amp;",""
      )
    )
  ),
0)
)"),"")</f>
        <v/>
      </c>
      <c r="K599" s="7" t="str">
        <f t="shared" si="2"/>
        <v>#N/A</v>
      </c>
    </row>
    <row r="600">
      <c r="C600" s="6" t="str">
        <f t="shared" si="1"/>
        <v/>
      </c>
      <c r="J600" s="7" t="str">
        <f>IFERROR(__xludf.DUMMYFUNCTION("IF($C600 = """", """", IFNA(
  ROWS(
    FILTER(
      Events!$G$2:$G1000,
      Events!$B$2:$B1000 &gt;= TODAY() - 90,
      REGEXMATCH(
        "","" &amp; SUBSTITUTE(Events!$G$2:$G1000, "" "", """") &amp; "","",
        "","" &amp; SUBSTITUTE($C600, "" "", """") &amp; """&amp;",""
      )
    )
  ),
0)
)"),"")</f>
        <v/>
      </c>
      <c r="K600" s="7" t="str">
        <f t="shared" si="2"/>
        <v>#N/A</v>
      </c>
    </row>
    <row r="601">
      <c r="C601" s="6" t="str">
        <f t="shared" si="1"/>
        <v/>
      </c>
      <c r="J601" s="7" t="str">
        <f>IFERROR(__xludf.DUMMYFUNCTION("IF($C601 = """", """", IFNA(
  ROWS(
    FILTER(
      Events!$G$2:$G1000,
      Events!$B$2:$B1000 &gt;= TODAY() - 90,
      REGEXMATCH(
        "","" &amp; SUBSTITUTE(Events!$G$2:$G1000, "" "", """") &amp; "","",
        "","" &amp; SUBSTITUTE($C601, "" "", """") &amp; """&amp;",""
      )
    )
  ),
0)
)"),"")</f>
        <v/>
      </c>
      <c r="K601" s="7" t="str">
        <f t="shared" si="2"/>
        <v>#N/A</v>
      </c>
    </row>
    <row r="602">
      <c r="C602" s="6" t="str">
        <f t="shared" si="1"/>
        <v/>
      </c>
      <c r="J602" s="7" t="str">
        <f>IFERROR(__xludf.DUMMYFUNCTION("IF($C602 = """", """", IFNA(
  ROWS(
    FILTER(
      Events!$G$2:$G1000,
      Events!$B$2:$B1000 &gt;= TODAY() - 90,
      REGEXMATCH(
        "","" &amp; SUBSTITUTE(Events!$G$2:$G1000, "" "", """") &amp; "","",
        "","" &amp; SUBSTITUTE($C602, "" "", """") &amp; """&amp;",""
      )
    )
  ),
0)
)"),"")</f>
        <v/>
      </c>
      <c r="K602" s="7" t="str">
        <f t="shared" si="2"/>
        <v>#N/A</v>
      </c>
    </row>
    <row r="603">
      <c r="C603" s="6" t="str">
        <f t="shared" si="1"/>
        <v/>
      </c>
      <c r="J603" s="7" t="str">
        <f>IFERROR(__xludf.DUMMYFUNCTION("IF($C603 = """", """", IFNA(
  ROWS(
    FILTER(
      Events!$G$2:$G1000,
      Events!$B$2:$B1000 &gt;= TODAY() - 90,
      REGEXMATCH(
        "","" &amp; SUBSTITUTE(Events!$G$2:$G1000, "" "", """") &amp; "","",
        "","" &amp; SUBSTITUTE($C603, "" "", """") &amp; """&amp;",""
      )
    )
  ),
0)
)"),"")</f>
        <v/>
      </c>
      <c r="K603" s="7" t="str">
        <f t="shared" si="2"/>
        <v>#N/A</v>
      </c>
    </row>
    <row r="604">
      <c r="C604" s="6" t="str">
        <f t="shared" si="1"/>
        <v/>
      </c>
      <c r="J604" s="7" t="str">
        <f>IFERROR(__xludf.DUMMYFUNCTION("IF($C604 = """", """", IFNA(
  ROWS(
    FILTER(
      Events!$G$2:$G1000,
      Events!$B$2:$B1000 &gt;= TODAY() - 90,
      REGEXMATCH(
        "","" &amp; SUBSTITUTE(Events!$G$2:$G1000, "" "", """") &amp; "","",
        "","" &amp; SUBSTITUTE($C604, "" "", """") &amp; """&amp;",""
      )
    )
  ),
0)
)"),"")</f>
        <v/>
      </c>
      <c r="K604" s="7" t="str">
        <f t="shared" si="2"/>
        <v>#N/A</v>
      </c>
    </row>
    <row r="605">
      <c r="C605" s="6" t="str">
        <f t="shared" si="1"/>
        <v/>
      </c>
      <c r="J605" s="7" t="str">
        <f>IFERROR(__xludf.DUMMYFUNCTION("IF($C605 = """", """", IFNA(
  ROWS(
    FILTER(
      Events!$G$2:$G1000,
      Events!$B$2:$B1000 &gt;= TODAY() - 90,
      REGEXMATCH(
        "","" &amp; SUBSTITUTE(Events!$G$2:$G1000, "" "", """") &amp; "","",
        "","" &amp; SUBSTITUTE($C605, "" "", """") &amp; """&amp;",""
      )
    )
  ),
0)
)"),"")</f>
        <v/>
      </c>
      <c r="K605" s="7" t="str">
        <f t="shared" si="2"/>
        <v>#N/A</v>
      </c>
    </row>
    <row r="606">
      <c r="C606" s="6" t="str">
        <f t="shared" si="1"/>
        <v/>
      </c>
      <c r="J606" s="7" t="str">
        <f>IFERROR(__xludf.DUMMYFUNCTION("IF($C606 = """", """", IFNA(
  ROWS(
    FILTER(
      Events!$G$2:$G1000,
      Events!$B$2:$B1000 &gt;= TODAY() - 90,
      REGEXMATCH(
        "","" &amp; SUBSTITUTE(Events!$G$2:$G1000, "" "", """") &amp; "","",
        "","" &amp; SUBSTITUTE($C606, "" "", """") &amp; """&amp;",""
      )
    )
  ),
0)
)"),"")</f>
        <v/>
      </c>
      <c r="K606" s="7" t="str">
        <f t="shared" si="2"/>
        <v>#N/A</v>
      </c>
    </row>
    <row r="607">
      <c r="C607" s="6" t="str">
        <f t="shared" si="1"/>
        <v/>
      </c>
      <c r="J607" s="7" t="str">
        <f>IFERROR(__xludf.DUMMYFUNCTION("IF($C607 = """", """", IFNA(
  ROWS(
    FILTER(
      Events!$G$2:$G1000,
      Events!$B$2:$B1000 &gt;= TODAY() - 90,
      REGEXMATCH(
        "","" &amp; SUBSTITUTE(Events!$G$2:$G1000, "" "", """") &amp; "","",
        "","" &amp; SUBSTITUTE($C607, "" "", """") &amp; """&amp;",""
      )
    )
  ),
0)
)"),"")</f>
        <v/>
      </c>
      <c r="K607" s="7" t="str">
        <f t="shared" si="2"/>
        <v>#N/A</v>
      </c>
    </row>
    <row r="608">
      <c r="C608" s="6" t="str">
        <f t="shared" si="1"/>
        <v/>
      </c>
      <c r="J608" s="7" t="str">
        <f>IFERROR(__xludf.DUMMYFUNCTION("IF($C608 = """", """", IFNA(
  ROWS(
    FILTER(
      Events!$G$2:$G1000,
      Events!$B$2:$B1000 &gt;= TODAY() - 90,
      REGEXMATCH(
        "","" &amp; SUBSTITUTE(Events!$G$2:$G1000, "" "", """") &amp; "","",
        "","" &amp; SUBSTITUTE($C608, "" "", """") &amp; """&amp;",""
      )
    )
  ),
0)
)"),"")</f>
        <v/>
      </c>
      <c r="K608" s="7" t="str">
        <f t="shared" si="2"/>
        <v>#N/A</v>
      </c>
    </row>
    <row r="609">
      <c r="C609" s="6" t="str">
        <f t="shared" si="1"/>
        <v/>
      </c>
      <c r="J609" s="7" t="str">
        <f>IFERROR(__xludf.DUMMYFUNCTION("IF($C609 = """", """", IFNA(
  ROWS(
    FILTER(
      Events!$G$2:$G1000,
      Events!$B$2:$B1000 &gt;= TODAY() - 90,
      REGEXMATCH(
        "","" &amp; SUBSTITUTE(Events!$G$2:$G1000, "" "", """") &amp; "","",
        "","" &amp; SUBSTITUTE($C609, "" "", """") &amp; """&amp;",""
      )
    )
  ),
0)
)"),"")</f>
        <v/>
      </c>
      <c r="K609" s="7" t="str">
        <f t="shared" si="2"/>
        <v>#N/A</v>
      </c>
    </row>
    <row r="610">
      <c r="C610" s="6" t="str">
        <f t="shared" si="1"/>
        <v/>
      </c>
      <c r="J610" s="7" t="str">
        <f>IFERROR(__xludf.DUMMYFUNCTION("IF($C610 = """", """", IFNA(
  ROWS(
    FILTER(
      Events!$G$2:$G1000,
      Events!$B$2:$B1000 &gt;= TODAY() - 90,
      REGEXMATCH(
        "","" &amp; SUBSTITUTE(Events!$G$2:$G1000, "" "", """") &amp; "","",
        "","" &amp; SUBSTITUTE($C610, "" "", """") &amp; """&amp;",""
      )
    )
  ),
0)
)"),"")</f>
        <v/>
      </c>
      <c r="K610" s="7" t="str">
        <f t="shared" si="2"/>
        <v>#N/A</v>
      </c>
    </row>
    <row r="611">
      <c r="C611" s="6" t="str">
        <f t="shared" si="1"/>
        <v/>
      </c>
      <c r="J611" s="7" t="str">
        <f>IFERROR(__xludf.DUMMYFUNCTION("IF($C611 = """", """", IFNA(
  ROWS(
    FILTER(
      Events!$G$2:$G1000,
      Events!$B$2:$B1000 &gt;= TODAY() - 90,
      REGEXMATCH(
        "","" &amp; SUBSTITUTE(Events!$G$2:$G1000, "" "", """") &amp; "","",
        "","" &amp; SUBSTITUTE($C611, "" "", """") &amp; """&amp;",""
      )
    )
  ),
0)
)"),"")</f>
        <v/>
      </c>
      <c r="K611" s="7" t="str">
        <f t="shared" si="2"/>
        <v>#N/A</v>
      </c>
    </row>
    <row r="612">
      <c r="C612" s="6" t="str">
        <f t="shared" si="1"/>
        <v/>
      </c>
      <c r="J612" s="7" t="str">
        <f>IFERROR(__xludf.DUMMYFUNCTION("IF($C612 = """", """", IFNA(
  ROWS(
    FILTER(
      Events!$G$2:$G1000,
      Events!$B$2:$B1000 &gt;= TODAY() - 90,
      REGEXMATCH(
        "","" &amp; SUBSTITUTE(Events!$G$2:$G1000, "" "", """") &amp; "","",
        "","" &amp; SUBSTITUTE($C612, "" "", """") &amp; """&amp;",""
      )
    )
  ),
0)
)"),"")</f>
        <v/>
      </c>
      <c r="K612" s="7" t="str">
        <f t="shared" si="2"/>
        <v>#N/A</v>
      </c>
    </row>
    <row r="613">
      <c r="C613" s="6" t="str">
        <f t="shared" si="1"/>
        <v/>
      </c>
      <c r="J613" s="7" t="str">
        <f>IFERROR(__xludf.DUMMYFUNCTION("IF($C613 = """", """", IFNA(
  ROWS(
    FILTER(
      Events!$G$2:$G1000,
      Events!$B$2:$B1000 &gt;= TODAY() - 90,
      REGEXMATCH(
        "","" &amp; SUBSTITUTE(Events!$G$2:$G1000, "" "", """") &amp; "","",
        "","" &amp; SUBSTITUTE($C613, "" "", """") &amp; """&amp;",""
      )
    )
  ),
0)
)"),"")</f>
        <v/>
      </c>
      <c r="K613" s="7" t="str">
        <f t="shared" si="2"/>
        <v>#N/A</v>
      </c>
    </row>
    <row r="614">
      <c r="C614" s="6" t="str">
        <f t="shared" si="1"/>
        <v/>
      </c>
      <c r="J614" s="7" t="str">
        <f>IFERROR(__xludf.DUMMYFUNCTION("IF($C614 = """", """", IFNA(
  ROWS(
    FILTER(
      Events!$G$2:$G1000,
      Events!$B$2:$B1000 &gt;= TODAY() - 90,
      REGEXMATCH(
        "","" &amp; SUBSTITUTE(Events!$G$2:$G1000, "" "", """") &amp; "","",
        "","" &amp; SUBSTITUTE($C614, "" "", """") &amp; """&amp;",""
      )
    )
  ),
0)
)"),"")</f>
        <v/>
      </c>
      <c r="K614" s="7" t="str">
        <f t="shared" si="2"/>
        <v>#N/A</v>
      </c>
    </row>
    <row r="615">
      <c r="C615" s="6" t="str">
        <f t="shared" si="1"/>
        <v/>
      </c>
      <c r="J615" s="7" t="str">
        <f>IFERROR(__xludf.DUMMYFUNCTION("IF($C615 = """", """", IFNA(
  ROWS(
    FILTER(
      Events!$G$2:$G1000,
      Events!$B$2:$B1000 &gt;= TODAY() - 90,
      REGEXMATCH(
        "","" &amp; SUBSTITUTE(Events!$G$2:$G1000, "" "", """") &amp; "","",
        "","" &amp; SUBSTITUTE($C615, "" "", """") &amp; """&amp;",""
      )
    )
  ),
0)
)"),"")</f>
        <v/>
      </c>
      <c r="K615" s="7" t="str">
        <f t="shared" si="2"/>
        <v>#N/A</v>
      </c>
    </row>
    <row r="616">
      <c r="C616" s="6" t="str">
        <f t="shared" si="1"/>
        <v/>
      </c>
      <c r="J616" s="7" t="str">
        <f>IFERROR(__xludf.DUMMYFUNCTION("IF($C616 = """", """", IFNA(
  ROWS(
    FILTER(
      Events!$G$2:$G1000,
      Events!$B$2:$B1000 &gt;= TODAY() - 90,
      REGEXMATCH(
        "","" &amp; SUBSTITUTE(Events!$G$2:$G1000, "" "", """") &amp; "","",
        "","" &amp; SUBSTITUTE($C616, "" "", """") &amp; """&amp;",""
      )
    )
  ),
0)
)"),"")</f>
        <v/>
      </c>
      <c r="K616" s="7" t="str">
        <f t="shared" si="2"/>
        <v>#N/A</v>
      </c>
    </row>
    <row r="617">
      <c r="C617" s="6" t="str">
        <f t="shared" si="1"/>
        <v/>
      </c>
      <c r="J617" s="7" t="str">
        <f>IFERROR(__xludf.DUMMYFUNCTION("IF($C617 = """", """", IFNA(
  ROWS(
    FILTER(
      Events!$G$2:$G1000,
      Events!$B$2:$B1000 &gt;= TODAY() - 90,
      REGEXMATCH(
        "","" &amp; SUBSTITUTE(Events!$G$2:$G1000, "" "", """") &amp; "","",
        "","" &amp; SUBSTITUTE($C617, "" "", """") &amp; """&amp;",""
      )
    )
  ),
0)
)"),"")</f>
        <v/>
      </c>
      <c r="K617" s="7" t="str">
        <f t="shared" si="2"/>
        <v>#N/A</v>
      </c>
    </row>
    <row r="618">
      <c r="C618" s="6" t="str">
        <f t="shared" si="1"/>
        <v/>
      </c>
      <c r="J618" s="7" t="str">
        <f>IFERROR(__xludf.DUMMYFUNCTION("IF($C618 = """", """", IFNA(
  ROWS(
    FILTER(
      Events!$G$2:$G1000,
      Events!$B$2:$B1000 &gt;= TODAY() - 90,
      REGEXMATCH(
        "","" &amp; SUBSTITUTE(Events!$G$2:$G1000, "" "", """") &amp; "","",
        "","" &amp; SUBSTITUTE($C618, "" "", """") &amp; """&amp;",""
      )
    )
  ),
0)
)"),"")</f>
        <v/>
      </c>
      <c r="K618" s="7" t="str">
        <f t="shared" si="2"/>
        <v>#N/A</v>
      </c>
    </row>
    <row r="619">
      <c r="C619" s="6" t="str">
        <f t="shared" si="1"/>
        <v/>
      </c>
      <c r="J619" s="7" t="str">
        <f>IFERROR(__xludf.DUMMYFUNCTION("IF($C619 = """", """", IFNA(
  ROWS(
    FILTER(
      Events!$G$2:$G1000,
      Events!$B$2:$B1000 &gt;= TODAY() - 90,
      REGEXMATCH(
        "","" &amp; SUBSTITUTE(Events!$G$2:$G1000, "" "", """") &amp; "","",
        "","" &amp; SUBSTITUTE($C619, "" "", """") &amp; """&amp;",""
      )
    )
  ),
0)
)"),"")</f>
        <v/>
      </c>
      <c r="K619" s="7" t="str">
        <f t="shared" si="2"/>
        <v>#N/A</v>
      </c>
    </row>
    <row r="620">
      <c r="C620" s="6" t="str">
        <f t="shared" si="1"/>
        <v/>
      </c>
      <c r="J620" s="7" t="str">
        <f>IFERROR(__xludf.DUMMYFUNCTION("IF($C620 = """", """", IFNA(
  ROWS(
    FILTER(
      Events!$G$2:$G1000,
      Events!$B$2:$B1000 &gt;= TODAY() - 90,
      REGEXMATCH(
        "","" &amp; SUBSTITUTE(Events!$G$2:$G1000, "" "", """") &amp; "","",
        "","" &amp; SUBSTITUTE($C620, "" "", """") &amp; """&amp;",""
      )
    )
  ),
0)
)"),"")</f>
        <v/>
      </c>
      <c r="K620" s="7" t="str">
        <f t="shared" si="2"/>
        <v>#N/A</v>
      </c>
    </row>
    <row r="621">
      <c r="C621" s="6" t="str">
        <f t="shared" si="1"/>
        <v/>
      </c>
      <c r="J621" s="7" t="str">
        <f>IFERROR(__xludf.DUMMYFUNCTION("IF($C621 = """", """", IFNA(
  ROWS(
    FILTER(
      Events!$G$2:$G1000,
      Events!$B$2:$B1000 &gt;= TODAY() - 90,
      REGEXMATCH(
        "","" &amp; SUBSTITUTE(Events!$G$2:$G1000, "" "", """") &amp; "","",
        "","" &amp; SUBSTITUTE($C621, "" "", """") &amp; """&amp;",""
      )
    )
  ),
0)
)"),"")</f>
        <v/>
      </c>
      <c r="K621" s="7" t="str">
        <f t="shared" si="2"/>
        <v>#N/A</v>
      </c>
    </row>
    <row r="622">
      <c r="C622" s="6" t="str">
        <f t="shared" si="1"/>
        <v/>
      </c>
      <c r="J622" s="7" t="str">
        <f>IFERROR(__xludf.DUMMYFUNCTION("IF($C622 = """", """", IFNA(
  ROWS(
    FILTER(
      Events!$G$2:$G1000,
      Events!$B$2:$B1000 &gt;= TODAY() - 90,
      REGEXMATCH(
        "","" &amp; SUBSTITUTE(Events!$G$2:$G1000, "" "", """") &amp; "","",
        "","" &amp; SUBSTITUTE($C622, "" "", """") &amp; """&amp;",""
      )
    )
  ),
0)
)"),"")</f>
        <v/>
      </c>
      <c r="K622" s="7" t="str">
        <f t="shared" si="2"/>
        <v>#N/A</v>
      </c>
    </row>
    <row r="623">
      <c r="C623" s="6" t="str">
        <f t="shared" si="1"/>
        <v/>
      </c>
      <c r="J623" s="7" t="str">
        <f>IFERROR(__xludf.DUMMYFUNCTION("IF($C623 = """", """", IFNA(
  ROWS(
    FILTER(
      Events!$G$2:$G1000,
      Events!$B$2:$B1000 &gt;= TODAY() - 90,
      REGEXMATCH(
        "","" &amp; SUBSTITUTE(Events!$G$2:$G1000, "" "", """") &amp; "","",
        "","" &amp; SUBSTITUTE($C623, "" "", """") &amp; """&amp;",""
      )
    )
  ),
0)
)"),"")</f>
        <v/>
      </c>
      <c r="K623" s="7" t="str">
        <f t="shared" si="2"/>
        <v>#N/A</v>
      </c>
    </row>
    <row r="624">
      <c r="C624" s="6" t="str">
        <f t="shared" si="1"/>
        <v/>
      </c>
      <c r="J624" s="7" t="str">
        <f>IFERROR(__xludf.DUMMYFUNCTION("IF($C624 = """", """", IFNA(
  ROWS(
    FILTER(
      Events!$G$2:$G1000,
      Events!$B$2:$B1000 &gt;= TODAY() - 90,
      REGEXMATCH(
        "","" &amp; SUBSTITUTE(Events!$G$2:$G1000, "" "", """") &amp; "","",
        "","" &amp; SUBSTITUTE($C624, "" "", """") &amp; """&amp;",""
      )
    )
  ),
0)
)"),"")</f>
        <v/>
      </c>
      <c r="K624" s="7" t="str">
        <f t="shared" si="2"/>
        <v>#N/A</v>
      </c>
    </row>
    <row r="625">
      <c r="C625" s="6" t="str">
        <f t="shared" si="1"/>
        <v/>
      </c>
      <c r="J625" s="7" t="str">
        <f>IFERROR(__xludf.DUMMYFUNCTION("IF($C625 = """", """", IFNA(
  ROWS(
    FILTER(
      Events!$G$2:$G1000,
      Events!$B$2:$B1000 &gt;= TODAY() - 90,
      REGEXMATCH(
        "","" &amp; SUBSTITUTE(Events!$G$2:$G1000, "" "", """") &amp; "","",
        "","" &amp; SUBSTITUTE($C625, "" "", """") &amp; """&amp;",""
      )
    )
  ),
0)
)"),"")</f>
        <v/>
      </c>
      <c r="K625" s="7" t="str">
        <f t="shared" si="2"/>
        <v>#N/A</v>
      </c>
    </row>
    <row r="626">
      <c r="C626" s="6" t="str">
        <f t="shared" si="1"/>
        <v/>
      </c>
      <c r="J626" s="7" t="str">
        <f>IFERROR(__xludf.DUMMYFUNCTION("IF($C626 = """", """", IFNA(
  ROWS(
    FILTER(
      Events!$G$2:$G1000,
      Events!$B$2:$B1000 &gt;= TODAY() - 90,
      REGEXMATCH(
        "","" &amp; SUBSTITUTE(Events!$G$2:$G1000, "" "", """") &amp; "","",
        "","" &amp; SUBSTITUTE($C626, "" "", """") &amp; """&amp;",""
      )
    )
  ),
0)
)"),"")</f>
        <v/>
      </c>
      <c r="K626" s="7" t="str">
        <f t="shared" si="2"/>
        <v>#N/A</v>
      </c>
    </row>
    <row r="627">
      <c r="C627" s="6" t="str">
        <f t="shared" si="1"/>
        <v/>
      </c>
      <c r="J627" s="7" t="str">
        <f>IFERROR(__xludf.DUMMYFUNCTION("IF($C627 = """", """", IFNA(
  ROWS(
    FILTER(
      Events!$G$2:$G1000,
      Events!$B$2:$B1000 &gt;= TODAY() - 90,
      REGEXMATCH(
        "","" &amp; SUBSTITUTE(Events!$G$2:$G1000, "" "", """") &amp; "","",
        "","" &amp; SUBSTITUTE($C627, "" "", """") &amp; """&amp;",""
      )
    )
  ),
0)
)"),"")</f>
        <v/>
      </c>
      <c r="K627" s="7" t="str">
        <f t="shared" si="2"/>
        <v>#N/A</v>
      </c>
    </row>
    <row r="628">
      <c r="C628" s="6" t="str">
        <f t="shared" si="1"/>
        <v/>
      </c>
      <c r="J628" s="7" t="str">
        <f>IFERROR(__xludf.DUMMYFUNCTION("IF($C628 = """", """", IFNA(
  ROWS(
    FILTER(
      Events!$G$2:$G1000,
      Events!$B$2:$B1000 &gt;= TODAY() - 90,
      REGEXMATCH(
        "","" &amp; SUBSTITUTE(Events!$G$2:$G1000, "" "", """") &amp; "","",
        "","" &amp; SUBSTITUTE($C628, "" "", """") &amp; """&amp;",""
      )
    )
  ),
0)
)"),"")</f>
        <v/>
      </c>
      <c r="K628" s="7" t="str">
        <f t="shared" si="2"/>
        <v>#N/A</v>
      </c>
    </row>
    <row r="629">
      <c r="C629" s="6" t="str">
        <f t="shared" si="1"/>
        <v/>
      </c>
      <c r="J629" s="7" t="str">
        <f>IFERROR(__xludf.DUMMYFUNCTION("IF($C629 = """", """", IFNA(
  ROWS(
    FILTER(
      Events!$G$2:$G1000,
      Events!$B$2:$B1000 &gt;= TODAY() - 90,
      REGEXMATCH(
        "","" &amp; SUBSTITUTE(Events!$G$2:$G1000, "" "", """") &amp; "","",
        "","" &amp; SUBSTITUTE($C629, "" "", """") &amp; """&amp;",""
      )
    )
  ),
0)
)"),"")</f>
        <v/>
      </c>
      <c r="K629" s="7" t="str">
        <f t="shared" si="2"/>
        <v>#N/A</v>
      </c>
    </row>
    <row r="630">
      <c r="C630" s="6" t="str">
        <f t="shared" si="1"/>
        <v/>
      </c>
      <c r="J630" s="7" t="str">
        <f>IFERROR(__xludf.DUMMYFUNCTION("IF($C630 = """", """", IFNA(
  ROWS(
    FILTER(
      Events!$G$2:$G1000,
      Events!$B$2:$B1000 &gt;= TODAY() - 90,
      REGEXMATCH(
        "","" &amp; SUBSTITUTE(Events!$G$2:$G1000, "" "", """") &amp; "","",
        "","" &amp; SUBSTITUTE($C630, "" "", """") &amp; """&amp;",""
      )
    )
  ),
0)
)"),"")</f>
        <v/>
      </c>
      <c r="K630" s="7" t="str">
        <f t="shared" si="2"/>
        <v>#N/A</v>
      </c>
    </row>
    <row r="631">
      <c r="C631" s="6" t="str">
        <f t="shared" si="1"/>
        <v/>
      </c>
      <c r="J631" s="7" t="str">
        <f>IFERROR(__xludf.DUMMYFUNCTION("IF($C631 = """", """", IFNA(
  ROWS(
    FILTER(
      Events!$G$2:$G1000,
      Events!$B$2:$B1000 &gt;= TODAY() - 90,
      REGEXMATCH(
        "","" &amp; SUBSTITUTE(Events!$G$2:$G1000, "" "", """") &amp; "","",
        "","" &amp; SUBSTITUTE($C631, "" "", """") &amp; """&amp;",""
      )
    )
  ),
0)
)"),"")</f>
        <v/>
      </c>
      <c r="K631" s="7" t="str">
        <f t="shared" si="2"/>
        <v>#N/A</v>
      </c>
    </row>
    <row r="632">
      <c r="C632" s="6" t="str">
        <f t="shared" si="1"/>
        <v/>
      </c>
      <c r="J632" s="7" t="str">
        <f>IFERROR(__xludf.DUMMYFUNCTION("IF($C632 = """", """", IFNA(
  ROWS(
    FILTER(
      Events!$G$2:$G1000,
      Events!$B$2:$B1000 &gt;= TODAY() - 90,
      REGEXMATCH(
        "","" &amp; SUBSTITUTE(Events!$G$2:$G1000, "" "", """") &amp; "","",
        "","" &amp; SUBSTITUTE($C632, "" "", """") &amp; """&amp;",""
      )
    )
  ),
0)
)"),"")</f>
        <v/>
      </c>
      <c r="K632" s="7" t="str">
        <f t="shared" si="2"/>
        <v>#N/A</v>
      </c>
    </row>
    <row r="633">
      <c r="C633" s="6" t="str">
        <f t="shared" si="1"/>
        <v/>
      </c>
      <c r="J633" s="7" t="str">
        <f>IFERROR(__xludf.DUMMYFUNCTION("IF($C633 = """", """", IFNA(
  ROWS(
    FILTER(
      Events!$G$2:$G1000,
      Events!$B$2:$B1000 &gt;= TODAY() - 90,
      REGEXMATCH(
        "","" &amp; SUBSTITUTE(Events!$G$2:$G1000, "" "", """") &amp; "","",
        "","" &amp; SUBSTITUTE($C633, "" "", """") &amp; """&amp;",""
      )
    )
  ),
0)
)"),"")</f>
        <v/>
      </c>
      <c r="K633" s="7" t="str">
        <f t="shared" si="2"/>
        <v>#N/A</v>
      </c>
    </row>
    <row r="634">
      <c r="C634" s="6" t="str">
        <f t="shared" si="1"/>
        <v/>
      </c>
      <c r="J634" s="7" t="str">
        <f>IFERROR(__xludf.DUMMYFUNCTION("IF($C634 = """", """", IFNA(
  ROWS(
    FILTER(
      Events!$G$2:$G1000,
      Events!$B$2:$B1000 &gt;= TODAY() - 90,
      REGEXMATCH(
        "","" &amp; SUBSTITUTE(Events!$G$2:$G1000, "" "", """") &amp; "","",
        "","" &amp; SUBSTITUTE($C634, "" "", """") &amp; """&amp;",""
      )
    )
  ),
0)
)"),"")</f>
        <v/>
      </c>
      <c r="K634" s="7" t="str">
        <f t="shared" si="2"/>
        <v>#N/A</v>
      </c>
    </row>
    <row r="635">
      <c r="C635" s="6" t="str">
        <f t="shared" si="1"/>
        <v/>
      </c>
      <c r="J635" s="7" t="str">
        <f>IFERROR(__xludf.DUMMYFUNCTION("IF($C635 = """", """", IFNA(
  ROWS(
    FILTER(
      Events!$G$2:$G1000,
      Events!$B$2:$B1000 &gt;= TODAY() - 90,
      REGEXMATCH(
        "","" &amp; SUBSTITUTE(Events!$G$2:$G1000, "" "", """") &amp; "","",
        "","" &amp; SUBSTITUTE($C635, "" "", """") &amp; """&amp;",""
      )
    )
  ),
0)
)"),"")</f>
        <v/>
      </c>
      <c r="K635" s="7" t="str">
        <f t="shared" si="2"/>
        <v>#N/A</v>
      </c>
    </row>
    <row r="636">
      <c r="C636" s="6" t="str">
        <f t="shared" si="1"/>
        <v/>
      </c>
      <c r="J636" s="7" t="str">
        <f>IFERROR(__xludf.DUMMYFUNCTION("IF($C636 = """", """", IFNA(
  ROWS(
    FILTER(
      Events!$G$2:$G1000,
      Events!$B$2:$B1000 &gt;= TODAY() - 90,
      REGEXMATCH(
        "","" &amp; SUBSTITUTE(Events!$G$2:$G1000, "" "", """") &amp; "","",
        "","" &amp; SUBSTITUTE($C636, "" "", """") &amp; """&amp;",""
      )
    )
  ),
0)
)"),"")</f>
        <v/>
      </c>
      <c r="K636" s="7" t="str">
        <f t="shared" si="2"/>
        <v>#N/A</v>
      </c>
    </row>
    <row r="637">
      <c r="C637" s="6" t="str">
        <f t="shared" si="1"/>
        <v/>
      </c>
      <c r="J637" s="7" t="str">
        <f>IFERROR(__xludf.DUMMYFUNCTION("IF($C637 = """", """", IFNA(
  ROWS(
    FILTER(
      Events!$G$2:$G1000,
      Events!$B$2:$B1000 &gt;= TODAY() - 90,
      REGEXMATCH(
        "","" &amp; SUBSTITUTE(Events!$G$2:$G1000, "" "", """") &amp; "","",
        "","" &amp; SUBSTITUTE($C637, "" "", """") &amp; """&amp;",""
      )
    )
  ),
0)
)"),"")</f>
        <v/>
      </c>
      <c r="K637" s="7" t="str">
        <f t="shared" si="2"/>
        <v>#N/A</v>
      </c>
    </row>
    <row r="638">
      <c r="C638" s="6" t="str">
        <f t="shared" si="1"/>
        <v/>
      </c>
      <c r="J638" s="7" t="str">
        <f>IFERROR(__xludf.DUMMYFUNCTION("IF($C638 = """", """", IFNA(
  ROWS(
    FILTER(
      Events!$G$2:$G1000,
      Events!$B$2:$B1000 &gt;= TODAY() - 90,
      REGEXMATCH(
        "","" &amp; SUBSTITUTE(Events!$G$2:$G1000, "" "", """") &amp; "","",
        "","" &amp; SUBSTITUTE($C638, "" "", """") &amp; """&amp;",""
      )
    )
  ),
0)
)"),"")</f>
        <v/>
      </c>
      <c r="K638" s="7" t="str">
        <f t="shared" si="2"/>
        <v>#N/A</v>
      </c>
    </row>
    <row r="639">
      <c r="C639" s="6" t="str">
        <f t="shared" si="1"/>
        <v/>
      </c>
      <c r="J639" s="7" t="str">
        <f>IFERROR(__xludf.DUMMYFUNCTION("IF($C639 = """", """", IFNA(
  ROWS(
    FILTER(
      Events!$G$2:$G1000,
      Events!$B$2:$B1000 &gt;= TODAY() - 90,
      REGEXMATCH(
        "","" &amp; SUBSTITUTE(Events!$G$2:$G1000, "" "", """") &amp; "","",
        "","" &amp; SUBSTITUTE($C639, "" "", """") &amp; """&amp;",""
      )
    )
  ),
0)
)"),"")</f>
        <v/>
      </c>
      <c r="K639" s="7" t="str">
        <f t="shared" si="2"/>
        <v>#N/A</v>
      </c>
    </row>
    <row r="640">
      <c r="C640" s="6" t="str">
        <f t="shared" si="1"/>
        <v/>
      </c>
      <c r="J640" s="7" t="str">
        <f>IFERROR(__xludf.DUMMYFUNCTION("IF($C640 = """", """", IFNA(
  ROWS(
    FILTER(
      Events!$G$2:$G1000,
      Events!$B$2:$B1000 &gt;= TODAY() - 90,
      REGEXMATCH(
        "","" &amp; SUBSTITUTE(Events!$G$2:$G1000, "" "", """") &amp; "","",
        "","" &amp; SUBSTITUTE($C640, "" "", """") &amp; """&amp;",""
      )
    )
  ),
0)
)"),"")</f>
        <v/>
      </c>
      <c r="K640" s="7" t="str">
        <f t="shared" si="2"/>
        <v>#N/A</v>
      </c>
    </row>
    <row r="641">
      <c r="C641" s="6" t="str">
        <f t="shared" si="1"/>
        <v/>
      </c>
      <c r="J641" s="7" t="str">
        <f>IFERROR(__xludf.DUMMYFUNCTION("IF($C641 = """", """", IFNA(
  ROWS(
    FILTER(
      Events!$G$2:$G1000,
      Events!$B$2:$B1000 &gt;= TODAY() - 90,
      REGEXMATCH(
        "","" &amp; SUBSTITUTE(Events!$G$2:$G1000, "" "", """") &amp; "","",
        "","" &amp; SUBSTITUTE($C641, "" "", """") &amp; """&amp;",""
      )
    )
  ),
0)
)"),"")</f>
        <v/>
      </c>
      <c r="K641" s="7" t="str">
        <f t="shared" si="2"/>
        <v>#N/A</v>
      </c>
    </row>
    <row r="642">
      <c r="C642" s="6" t="str">
        <f t="shared" si="1"/>
        <v/>
      </c>
      <c r="J642" s="7" t="str">
        <f>IFERROR(__xludf.DUMMYFUNCTION("IF($C642 = """", """", IFNA(
  ROWS(
    FILTER(
      Events!$G$2:$G1000,
      Events!$B$2:$B1000 &gt;= TODAY() - 90,
      REGEXMATCH(
        "","" &amp; SUBSTITUTE(Events!$G$2:$G1000, "" "", """") &amp; "","",
        "","" &amp; SUBSTITUTE($C642, "" "", """") &amp; """&amp;",""
      )
    )
  ),
0)
)"),"")</f>
        <v/>
      </c>
      <c r="K642" s="7" t="str">
        <f t="shared" si="2"/>
        <v>#N/A</v>
      </c>
    </row>
    <row r="643">
      <c r="C643" s="6" t="str">
        <f t="shared" si="1"/>
        <v/>
      </c>
      <c r="J643" s="7" t="str">
        <f>IFERROR(__xludf.DUMMYFUNCTION("IF($C643 = """", """", IFNA(
  ROWS(
    FILTER(
      Events!$G$2:$G1000,
      Events!$B$2:$B1000 &gt;= TODAY() - 90,
      REGEXMATCH(
        "","" &amp; SUBSTITUTE(Events!$G$2:$G1000, "" "", """") &amp; "","",
        "","" &amp; SUBSTITUTE($C643, "" "", """") &amp; """&amp;",""
      )
    )
  ),
0)
)"),"")</f>
        <v/>
      </c>
      <c r="K643" s="7" t="str">
        <f t="shared" si="2"/>
        <v>#N/A</v>
      </c>
    </row>
    <row r="644">
      <c r="C644" s="6" t="str">
        <f t="shared" si="1"/>
        <v/>
      </c>
      <c r="J644" s="7" t="str">
        <f>IFERROR(__xludf.DUMMYFUNCTION("IF($C644 = """", """", IFNA(
  ROWS(
    FILTER(
      Events!$G$2:$G1000,
      Events!$B$2:$B1000 &gt;= TODAY() - 90,
      REGEXMATCH(
        "","" &amp; SUBSTITUTE(Events!$G$2:$G1000, "" "", """") &amp; "","",
        "","" &amp; SUBSTITUTE($C644, "" "", """") &amp; """&amp;",""
      )
    )
  ),
0)
)"),"")</f>
        <v/>
      </c>
      <c r="K644" s="7" t="str">
        <f t="shared" si="2"/>
        <v>#N/A</v>
      </c>
    </row>
    <row r="645">
      <c r="C645" s="6" t="str">
        <f t="shared" si="1"/>
        <v/>
      </c>
      <c r="J645" s="7" t="str">
        <f>IFERROR(__xludf.DUMMYFUNCTION("IF($C645 = """", """", IFNA(
  ROWS(
    FILTER(
      Events!$G$2:$G1000,
      Events!$B$2:$B1000 &gt;= TODAY() - 90,
      REGEXMATCH(
        "","" &amp; SUBSTITUTE(Events!$G$2:$G1000, "" "", """") &amp; "","",
        "","" &amp; SUBSTITUTE($C645, "" "", """") &amp; """&amp;",""
      )
    )
  ),
0)
)"),"")</f>
        <v/>
      </c>
      <c r="K645" s="7" t="str">
        <f t="shared" si="2"/>
        <v>#N/A</v>
      </c>
    </row>
    <row r="646">
      <c r="C646" s="6" t="str">
        <f t="shared" si="1"/>
        <v/>
      </c>
      <c r="J646" s="7" t="str">
        <f>IFERROR(__xludf.DUMMYFUNCTION("IF($C646 = """", """", IFNA(
  ROWS(
    FILTER(
      Events!$G$2:$G1000,
      Events!$B$2:$B1000 &gt;= TODAY() - 90,
      REGEXMATCH(
        "","" &amp; SUBSTITUTE(Events!$G$2:$G1000, "" "", """") &amp; "","",
        "","" &amp; SUBSTITUTE($C646, "" "", """") &amp; """&amp;",""
      )
    )
  ),
0)
)"),"")</f>
        <v/>
      </c>
      <c r="K646" s="7" t="str">
        <f t="shared" si="2"/>
        <v>#N/A</v>
      </c>
    </row>
    <row r="647">
      <c r="C647" s="6" t="str">
        <f t="shared" si="1"/>
        <v/>
      </c>
      <c r="J647" s="7" t="str">
        <f>IFERROR(__xludf.DUMMYFUNCTION("IF($C647 = """", """", IFNA(
  ROWS(
    FILTER(
      Events!$G$2:$G1000,
      Events!$B$2:$B1000 &gt;= TODAY() - 90,
      REGEXMATCH(
        "","" &amp; SUBSTITUTE(Events!$G$2:$G1000, "" "", """") &amp; "","",
        "","" &amp; SUBSTITUTE($C647, "" "", """") &amp; """&amp;",""
      )
    )
  ),
0)
)"),"")</f>
        <v/>
      </c>
      <c r="K647" s="7" t="str">
        <f t="shared" si="2"/>
        <v>#N/A</v>
      </c>
    </row>
    <row r="648">
      <c r="C648" s="6" t="str">
        <f t="shared" si="1"/>
        <v/>
      </c>
      <c r="J648" s="7" t="str">
        <f>IFERROR(__xludf.DUMMYFUNCTION("IF($C648 = """", """", IFNA(
  ROWS(
    FILTER(
      Events!$G$2:$G1000,
      Events!$B$2:$B1000 &gt;= TODAY() - 90,
      REGEXMATCH(
        "","" &amp; SUBSTITUTE(Events!$G$2:$G1000, "" "", """") &amp; "","",
        "","" &amp; SUBSTITUTE($C648, "" "", """") &amp; """&amp;",""
      )
    )
  ),
0)
)"),"")</f>
        <v/>
      </c>
      <c r="K648" s="7" t="str">
        <f t="shared" si="2"/>
        <v>#N/A</v>
      </c>
    </row>
    <row r="649">
      <c r="C649" s="6" t="str">
        <f t="shared" si="1"/>
        <v/>
      </c>
      <c r="J649" s="7" t="str">
        <f>IFERROR(__xludf.DUMMYFUNCTION("IF($C649 = """", """", IFNA(
  ROWS(
    FILTER(
      Events!$G$2:$G1000,
      Events!$B$2:$B1000 &gt;= TODAY() - 90,
      REGEXMATCH(
        "","" &amp; SUBSTITUTE(Events!$G$2:$G1000, "" "", """") &amp; "","",
        "","" &amp; SUBSTITUTE($C649, "" "", """") &amp; """&amp;",""
      )
    )
  ),
0)
)"),"")</f>
        <v/>
      </c>
      <c r="K649" s="7" t="str">
        <f t="shared" si="2"/>
        <v>#N/A</v>
      </c>
    </row>
    <row r="650">
      <c r="C650" s="6" t="str">
        <f t="shared" si="1"/>
        <v/>
      </c>
      <c r="J650" s="7" t="str">
        <f>IFERROR(__xludf.DUMMYFUNCTION("IF($C650 = """", """", IFNA(
  ROWS(
    FILTER(
      Events!$G$2:$G1000,
      Events!$B$2:$B1000 &gt;= TODAY() - 90,
      REGEXMATCH(
        "","" &amp; SUBSTITUTE(Events!$G$2:$G1000, "" "", """") &amp; "","",
        "","" &amp; SUBSTITUTE($C650, "" "", """") &amp; """&amp;",""
      )
    )
  ),
0)
)"),"")</f>
        <v/>
      </c>
      <c r="K650" s="7" t="str">
        <f t="shared" si="2"/>
        <v>#N/A</v>
      </c>
    </row>
    <row r="651">
      <c r="C651" s="6" t="str">
        <f t="shared" si="1"/>
        <v/>
      </c>
      <c r="J651" s="7" t="str">
        <f>IFERROR(__xludf.DUMMYFUNCTION("IF($C651 = """", """", IFNA(
  ROWS(
    FILTER(
      Events!$G$2:$G1000,
      Events!$B$2:$B1000 &gt;= TODAY() - 90,
      REGEXMATCH(
        "","" &amp; SUBSTITUTE(Events!$G$2:$G1000, "" "", """") &amp; "","",
        "","" &amp; SUBSTITUTE($C651, "" "", """") &amp; """&amp;",""
      )
    )
  ),
0)
)"),"")</f>
        <v/>
      </c>
      <c r="K651" s="7" t="str">
        <f t="shared" si="2"/>
        <v>#N/A</v>
      </c>
    </row>
    <row r="652">
      <c r="C652" s="6" t="str">
        <f t="shared" si="1"/>
        <v/>
      </c>
      <c r="J652" s="7" t="str">
        <f>IFERROR(__xludf.DUMMYFUNCTION("IF($C652 = """", """", IFNA(
  ROWS(
    FILTER(
      Events!$G$2:$G1000,
      Events!$B$2:$B1000 &gt;= TODAY() - 90,
      REGEXMATCH(
        "","" &amp; SUBSTITUTE(Events!$G$2:$G1000, "" "", """") &amp; "","",
        "","" &amp; SUBSTITUTE($C652, "" "", """") &amp; """&amp;",""
      )
    )
  ),
0)
)"),"")</f>
        <v/>
      </c>
      <c r="K652" s="7" t="str">
        <f t="shared" si="2"/>
        <v>#N/A</v>
      </c>
    </row>
    <row r="653">
      <c r="C653" s="6" t="str">
        <f t="shared" si="1"/>
        <v/>
      </c>
      <c r="J653" s="7" t="str">
        <f>IFERROR(__xludf.DUMMYFUNCTION("IF($C653 = """", """", IFNA(
  ROWS(
    FILTER(
      Events!$G$2:$G1000,
      Events!$B$2:$B1000 &gt;= TODAY() - 90,
      REGEXMATCH(
        "","" &amp; SUBSTITUTE(Events!$G$2:$G1000, "" "", """") &amp; "","",
        "","" &amp; SUBSTITUTE($C653, "" "", """") &amp; """&amp;",""
      )
    )
  ),
0)
)"),"")</f>
        <v/>
      </c>
      <c r="K653" s="7" t="str">
        <f t="shared" si="2"/>
        <v>#N/A</v>
      </c>
    </row>
    <row r="654">
      <c r="C654" s="6" t="str">
        <f t="shared" si="1"/>
        <v/>
      </c>
      <c r="J654" s="7" t="str">
        <f>IFERROR(__xludf.DUMMYFUNCTION("IF($C654 = """", """", IFNA(
  ROWS(
    FILTER(
      Events!$G$2:$G1000,
      Events!$B$2:$B1000 &gt;= TODAY() - 90,
      REGEXMATCH(
        "","" &amp; SUBSTITUTE(Events!$G$2:$G1000, "" "", """") &amp; "","",
        "","" &amp; SUBSTITUTE($C654, "" "", """") &amp; """&amp;",""
      )
    )
  ),
0)
)"),"")</f>
        <v/>
      </c>
      <c r="K654" s="7" t="str">
        <f t="shared" si="2"/>
        <v>#N/A</v>
      </c>
    </row>
    <row r="655">
      <c r="C655" s="6" t="str">
        <f t="shared" si="1"/>
        <v/>
      </c>
      <c r="J655" s="7" t="str">
        <f>IFERROR(__xludf.DUMMYFUNCTION("IF($C655 = """", """", IFNA(
  ROWS(
    FILTER(
      Events!$G$2:$G1000,
      Events!$B$2:$B1000 &gt;= TODAY() - 90,
      REGEXMATCH(
        "","" &amp; SUBSTITUTE(Events!$G$2:$G1000, "" "", """") &amp; "","",
        "","" &amp; SUBSTITUTE($C655, "" "", """") &amp; """&amp;",""
      )
    )
  ),
0)
)"),"")</f>
        <v/>
      </c>
      <c r="K655" s="7" t="str">
        <f t="shared" si="2"/>
        <v>#N/A</v>
      </c>
    </row>
    <row r="656">
      <c r="C656" s="6" t="str">
        <f t="shared" si="1"/>
        <v/>
      </c>
      <c r="J656" s="7" t="str">
        <f>IFERROR(__xludf.DUMMYFUNCTION("IF($C656 = """", """", IFNA(
  ROWS(
    FILTER(
      Events!$G$2:$G1000,
      Events!$B$2:$B1000 &gt;= TODAY() - 90,
      REGEXMATCH(
        "","" &amp; SUBSTITUTE(Events!$G$2:$G1000, "" "", """") &amp; "","",
        "","" &amp; SUBSTITUTE($C656, "" "", """") &amp; """&amp;",""
      )
    )
  ),
0)
)"),"")</f>
        <v/>
      </c>
      <c r="K656" s="7" t="str">
        <f t="shared" si="2"/>
        <v>#N/A</v>
      </c>
    </row>
    <row r="657">
      <c r="C657" s="6" t="str">
        <f t="shared" si="1"/>
        <v/>
      </c>
      <c r="J657" s="7" t="str">
        <f>IFERROR(__xludf.DUMMYFUNCTION("IF($C657 = """", """", IFNA(
  ROWS(
    FILTER(
      Events!$G$2:$G1000,
      Events!$B$2:$B1000 &gt;= TODAY() - 90,
      REGEXMATCH(
        "","" &amp; SUBSTITUTE(Events!$G$2:$G1000, "" "", """") &amp; "","",
        "","" &amp; SUBSTITUTE($C657, "" "", """") &amp; """&amp;",""
      )
    )
  ),
0)
)"),"")</f>
        <v/>
      </c>
      <c r="K657" s="7" t="str">
        <f t="shared" si="2"/>
        <v>#N/A</v>
      </c>
    </row>
    <row r="658">
      <c r="C658" s="6" t="str">
        <f t="shared" si="1"/>
        <v/>
      </c>
      <c r="J658" s="7" t="str">
        <f>IFERROR(__xludf.DUMMYFUNCTION("IF($C658 = """", """", IFNA(
  ROWS(
    FILTER(
      Events!$G$2:$G1000,
      Events!$B$2:$B1000 &gt;= TODAY() - 90,
      REGEXMATCH(
        "","" &amp; SUBSTITUTE(Events!$G$2:$G1000, "" "", """") &amp; "","",
        "","" &amp; SUBSTITUTE($C658, "" "", """") &amp; """&amp;",""
      )
    )
  ),
0)
)"),"")</f>
        <v/>
      </c>
      <c r="K658" s="7" t="str">
        <f t="shared" si="2"/>
        <v>#N/A</v>
      </c>
    </row>
    <row r="659">
      <c r="C659" s="6" t="str">
        <f t="shared" si="1"/>
        <v/>
      </c>
      <c r="J659" s="7" t="str">
        <f>IFERROR(__xludf.DUMMYFUNCTION("IF($C659 = """", """", IFNA(
  ROWS(
    FILTER(
      Events!$G$2:$G1000,
      Events!$B$2:$B1000 &gt;= TODAY() - 90,
      REGEXMATCH(
        "","" &amp; SUBSTITUTE(Events!$G$2:$G1000, "" "", """") &amp; "","",
        "","" &amp; SUBSTITUTE($C659, "" "", """") &amp; """&amp;",""
      )
    )
  ),
0)
)"),"")</f>
        <v/>
      </c>
      <c r="K659" s="7" t="str">
        <f t="shared" si="2"/>
        <v>#N/A</v>
      </c>
    </row>
    <row r="660">
      <c r="C660" s="6" t="str">
        <f t="shared" si="1"/>
        <v/>
      </c>
      <c r="J660" s="7" t="str">
        <f>IFERROR(__xludf.DUMMYFUNCTION("IF($C660 = """", """", IFNA(
  ROWS(
    FILTER(
      Events!$G$2:$G1000,
      Events!$B$2:$B1000 &gt;= TODAY() - 90,
      REGEXMATCH(
        "","" &amp; SUBSTITUTE(Events!$G$2:$G1000, "" "", """") &amp; "","",
        "","" &amp; SUBSTITUTE($C660, "" "", """") &amp; """&amp;",""
      )
    )
  ),
0)
)"),"")</f>
        <v/>
      </c>
      <c r="K660" s="7" t="str">
        <f t="shared" si="2"/>
        <v>#N/A</v>
      </c>
    </row>
    <row r="661">
      <c r="C661" s="6" t="str">
        <f t="shared" si="1"/>
        <v/>
      </c>
      <c r="J661" s="7" t="str">
        <f>IFERROR(__xludf.DUMMYFUNCTION("IF($C661 = """", """", IFNA(
  ROWS(
    FILTER(
      Events!$G$2:$G1000,
      Events!$B$2:$B1000 &gt;= TODAY() - 90,
      REGEXMATCH(
        "","" &amp; SUBSTITUTE(Events!$G$2:$G1000, "" "", """") &amp; "","",
        "","" &amp; SUBSTITUTE($C661, "" "", """") &amp; """&amp;",""
      )
    )
  ),
0)
)"),"")</f>
        <v/>
      </c>
      <c r="K661" s="7" t="str">
        <f t="shared" si="2"/>
        <v>#N/A</v>
      </c>
    </row>
    <row r="662">
      <c r="C662" s="6" t="str">
        <f t="shared" si="1"/>
        <v/>
      </c>
      <c r="J662" s="7" t="str">
        <f>IFERROR(__xludf.DUMMYFUNCTION("IF($C662 = """", """", IFNA(
  ROWS(
    FILTER(
      Events!$G$2:$G1000,
      Events!$B$2:$B1000 &gt;= TODAY() - 90,
      REGEXMATCH(
        "","" &amp; SUBSTITUTE(Events!$G$2:$G1000, "" "", """") &amp; "","",
        "","" &amp; SUBSTITUTE($C662, "" "", """") &amp; """&amp;",""
      )
    )
  ),
0)
)"),"")</f>
        <v/>
      </c>
      <c r="K662" s="7" t="str">
        <f t="shared" si="2"/>
        <v>#N/A</v>
      </c>
    </row>
    <row r="663">
      <c r="C663" s="6" t="str">
        <f t="shared" si="1"/>
        <v/>
      </c>
      <c r="J663" s="7" t="str">
        <f>IFERROR(__xludf.DUMMYFUNCTION("IF($C663 = """", """", IFNA(
  ROWS(
    FILTER(
      Events!$G$2:$G1000,
      Events!$B$2:$B1000 &gt;= TODAY() - 90,
      REGEXMATCH(
        "","" &amp; SUBSTITUTE(Events!$G$2:$G1000, "" "", """") &amp; "","",
        "","" &amp; SUBSTITUTE($C663, "" "", """") &amp; """&amp;",""
      )
    )
  ),
0)
)"),"")</f>
        <v/>
      </c>
      <c r="K663" s="7" t="str">
        <f t="shared" si="2"/>
        <v>#N/A</v>
      </c>
    </row>
    <row r="664">
      <c r="C664" s="6" t="str">
        <f t="shared" si="1"/>
        <v/>
      </c>
      <c r="J664" s="7" t="str">
        <f>IFERROR(__xludf.DUMMYFUNCTION("IF($C664 = """", """", IFNA(
  ROWS(
    FILTER(
      Events!$G$2:$G1000,
      Events!$B$2:$B1000 &gt;= TODAY() - 90,
      REGEXMATCH(
        "","" &amp; SUBSTITUTE(Events!$G$2:$G1000, "" "", """") &amp; "","",
        "","" &amp; SUBSTITUTE($C664, "" "", """") &amp; """&amp;",""
      )
    )
  ),
0)
)"),"")</f>
        <v/>
      </c>
      <c r="K664" s="7" t="str">
        <f t="shared" si="2"/>
        <v>#N/A</v>
      </c>
    </row>
    <row r="665">
      <c r="C665" s="6" t="str">
        <f t="shared" si="1"/>
        <v/>
      </c>
      <c r="J665" s="7" t="str">
        <f>IFERROR(__xludf.DUMMYFUNCTION("IF($C665 = """", """", IFNA(
  ROWS(
    FILTER(
      Events!$G$2:$G1000,
      Events!$B$2:$B1000 &gt;= TODAY() - 90,
      REGEXMATCH(
        "","" &amp; SUBSTITUTE(Events!$G$2:$G1000, "" "", """") &amp; "","",
        "","" &amp; SUBSTITUTE($C665, "" "", """") &amp; """&amp;",""
      )
    )
  ),
0)
)"),"")</f>
        <v/>
      </c>
      <c r="K665" s="7" t="str">
        <f t="shared" si="2"/>
        <v>#N/A</v>
      </c>
    </row>
    <row r="666">
      <c r="C666" s="6" t="str">
        <f t="shared" si="1"/>
        <v/>
      </c>
      <c r="J666" s="7" t="str">
        <f>IFERROR(__xludf.DUMMYFUNCTION("IF($C666 = """", """", IFNA(
  ROWS(
    FILTER(
      Events!$G$2:$G1000,
      Events!$B$2:$B1000 &gt;= TODAY() - 90,
      REGEXMATCH(
        "","" &amp; SUBSTITUTE(Events!$G$2:$G1000, "" "", """") &amp; "","",
        "","" &amp; SUBSTITUTE($C666, "" "", """") &amp; """&amp;",""
      )
    )
  ),
0)
)"),"")</f>
        <v/>
      </c>
      <c r="K666" s="7" t="str">
        <f t="shared" si="2"/>
        <v>#N/A</v>
      </c>
    </row>
    <row r="667">
      <c r="C667" s="6" t="str">
        <f t="shared" si="1"/>
        <v/>
      </c>
      <c r="J667" s="7" t="str">
        <f>IFERROR(__xludf.DUMMYFUNCTION("IF($C667 = """", """", IFNA(
  ROWS(
    FILTER(
      Events!$G$2:$G1000,
      Events!$B$2:$B1000 &gt;= TODAY() - 90,
      REGEXMATCH(
        "","" &amp; SUBSTITUTE(Events!$G$2:$G1000, "" "", """") &amp; "","",
        "","" &amp; SUBSTITUTE($C667, "" "", """") &amp; """&amp;",""
      )
    )
  ),
0)
)"),"")</f>
        <v/>
      </c>
      <c r="K667" s="7" t="str">
        <f t="shared" si="2"/>
        <v>#N/A</v>
      </c>
    </row>
    <row r="668">
      <c r="C668" s="6" t="str">
        <f t="shared" si="1"/>
        <v/>
      </c>
      <c r="J668" s="7" t="str">
        <f>IFERROR(__xludf.DUMMYFUNCTION("IF($C668 = """", """", IFNA(
  ROWS(
    FILTER(
      Events!$G$2:$G1000,
      Events!$B$2:$B1000 &gt;= TODAY() - 90,
      REGEXMATCH(
        "","" &amp; SUBSTITUTE(Events!$G$2:$G1000, "" "", """") &amp; "","",
        "","" &amp; SUBSTITUTE($C668, "" "", """") &amp; """&amp;",""
      )
    )
  ),
0)
)"),"")</f>
        <v/>
      </c>
      <c r="K668" s="7" t="str">
        <f t="shared" si="2"/>
        <v>#N/A</v>
      </c>
    </row>
    <row r="669">
      <c r="C669" s="6" t="str">
        <f t="shared" si="1"/>
        <v/>
      </c>
      <c r="J669" s="7" t="str">
        <f>IFERROR(__xludf.DUMMYFUNCTION("IF($C669 = """", """", IFNA(
  ROWS(
    FILTER(
      Events!$G$2:$G1000,
      Events!$B$2:$B1000 &gt;= TODAY() - 90,
      REGEXMATCH(
        "","" &amp; SUBSTITUTE(Events!$G$2:$G1000, "" "", """") &amp; "","",
        "","" &amp; SUBSTITUTE($C669, "" "", """") &amp; """&amp;",""
      )
    )
  ),
0)
)"),"")</f>
        <v/>
      </c>
      <c r="K669" s="7" t="str">
        <f t="shared" si="2"/>
        <v>#N/A</v>
      </c>
    </row>
    <row r="670">
      <c r="C670" s="6" t="str">
        <f t="shared" si="1"/>
        <v/>
      </c>
      <c r="J670" s="7" t="str">
        <f>IFERROR(__xludf.DUMMYFUNCTION("IF($C670 = """", """", IFNA(
  ROWS(
    FILTER(
      Events!$G$2:$G1000,
      Events!$B$2:$B1000 &gt;= TODAY() - 90,
      REGEXMATCH(
        "","" &amp; SUBSTITUTE(Events!$G$2:$G1000, "" "", """") &amp; "","",
        "","" &amp; SUBSTITUTE($C670, "" "", """") &amp; """&amp;",""
      )
    )
  ),
0)
)"),"")</f>
        <v/>
      </c>
      <c r="K670" s="7" t="str">
        <f t="shared" si="2"/>
        <v>#N/A</v>
      </c>
    </row>
    <row r="671">
      <c r="C671" s="6" t="str">
        <f t="shared" si="1"/>
        <v/>
      </c>
      <c r="J671" s="7" t="str">
        <f>IFERROR(__xludf.DUMMYFUNCTION("IF($C671 = """", """", IFNA(
  ROWS(
    FILTER(
      Events!$G$2:$G1000,
      Events!$B$2:$B1000 &gt;= TODAY() - 90,
      REGEXMATCH(
        "","" &amp; SUBSTITUTE(Events!$G$2:$G1000, "" "", """") &amp; "","",
        "","" &amp; SUBSTITUTE($C671, "" "", """") &amp; """&amp;",""
      )
    )
  ),
0)
)"),"")</f>
        <v/>
      </c>
      <c r="K671" s="7" t="str">
        <f t="shared" si="2"/>
        <v>#N/A</v>
      </c>
    </row>
    <row r="672">
      <c r="C672" s="6" t="str">
        <f t="shared" si="1"/>
        <v/>
      </c>
      <c r="J672" s="7" t="str">
        <f>IFERROR(__xludf.DUMMYFUNCTION("IF($C672 = """", """", IFNA(
  ROWS(
    FILTER(
      Events!$G$2:$G1000,
      Events!$B$2:$B1000 &gt;= TODAY() - 90,
      REGEXMATCH(
        "","" &amp; SUBSTITUTE(Events!$G$2:$G1000, "" "", """") &amp; "","",
        "","" &amp; SUBSTITUTE($C672, "" "", """") &amp; """&amp;",""
      )
    )
  ),
0)
)"),"")</f>
        <v/>
      </c>
      <c r="K672" s="7" t="str">
        <f t="shared" si="2"/>
        <v>#N/A</v>
      </c>
    </row>
    <row r="673">
      <c r="C673" s="6" t="str">
        <f t="shared" si="1"/>
        <v/>
      </c>
      <c r="J673" s="7" t="str">
        <f>IFERROR(__xludf.DUMMYFUNCTION("IF($C673 = """", """", IFNA(
  ROWS(
    FILTER(
      Events!$G$2:$G1000,
      Events!$B$2:$B1000 &gt;= TODAY() - 90,
      REGEXMATCH(
        "","" &amp; SUBSTITUTE(Events!$G$2:$G1000, "" "", """") &amp; "","",
        "","" &amp; SUBSTITUTE($C673, "" "", """") &amp; """&amp;",""
      )
    )
  ),
0)
)"),"")</f>
        <v/>
      </c>
      <c r="K673" s="7" t="str">
        <f t="shared" si="2"/>
        <v>#N/A</v>
      </c>
    </row>
    <row r="674">
      <c r="C674" s="6" t="str">
        <f t="shared" si="1"/>
        <v/>
      </c>
      <c r="J674" s="7" t="str">
        <f>IFERROR(__xludf.DUMMYFUNCTION("IF($C674 = """", """", IFNA(
  ROWS(
    FILTER(
      Events!$G$2:$G1000,
      Events!$B$2:$B1000 &gt;= TODAY() - 90,
      REGEXMATCH(
        "","" &amp; SUBSTITUTE(Events!$G$2:$G1000, "" "", """") &amp; "","",
        "","" &amp; SUBSTITUTE($C674, "" "", """") &amp; """&amp;",""
      )
    )
  ),
0)
)"),"")</f>
        <v/>
      </c>
      <c r="K674" s="7" t="str">
        <f t="shared" si="2"/>
        <v>#N/A</v>
      </c>
    </row>
    <row r="675">
      <c r="C675" s="6" t="str">
        <f t="shared" si="1"/>
        <v/>
      </c>
      <c r="J675" s="7" t="str">
        <f>IFERROR(__xludf.DUMMYFUNCTION("IF($C675 = """", """", IFNA(
  ROWS(
    FILTER(
      Events!$G$2:$G1000,
      Events!$B$2:$B1000 &gt;= TODAY() - 90,
      REGEXMATCH(
        "","" &amp; SUBSTITUTE(Events!$G$2:$G1000, "" "", """") &amp; "","",
        "","" &amp; SUBSTITUTE($C675, "" "", """") &amp; """&amp;",""
      )
    )
  ),
0)
)"),"")</f>
        <v/>
      </c>
      <c r="K675" s="7" t="str">
        <f t="shared" si="2"/>
        <v>#N/A</v>
      </c>
    </row>
    <row r="676">
      <c r="C676" s="6" t="str">
        <f t="shared" si="1"/>
        <v/>
      </c>
      <c r="J676" s="7" t="str">
        <f>IFERROR(__xludf.DUMMYFUNCTION("IF($C676 = """", """", IFNA(
  ROWS(
    FILTER(
      Events!$G$2:$G1000,
      Events!$B$2:$B1000 &gt;= TODAY() - 90,
      REGEXMATCH(
        "","" &amp; SUBSTITUTE(Events!$G$2:$G1000, "" "", """") &amp; "","",
        "","" &amp; SUBSTITUTE($C676, "" "", """") &amp; """&amp;",""
      )
    )
  ),
0)
)"),"")</f>
        <v/>
      </c>
      <c r="K676" s="7" t="str">
        <f t="shared" si="2"/>
        <v>#N/A</v>
      </c>
    </row>
    <row r="677">
      <c r="C677" s="6" t="str">
        <f t="shared" si="1"/>
        <v/>
      </c>
      <c r="J677" s="7" t="str">
        <f>IFERROR(__xludf.DUMMYFUNCTION("IF($C677 = """", """", IFNA(
  ROWS(
    FILTER(
      Events!$G$2:$G1000,
      Events!$B$2:$B1000 &gt;= TODAY() - 90,
      REGEXMATCH(
        "","" &amp; SUBSTITUTE(Events!$G$2:$G1000, "" "", """") &amp; "","",
        "","" &amp; SUBSTITUTE($C677, "" "", """") &amp; """&amp;",""
      )
    )
  ),
0)
)"),"")</f>
        <v/>
      </c>
      <c r="K677" s="7" t="str">
        <f t="shared" si="2"/>
        <v>#N/A</v>
      </c>
    </row>
    <row r="678">
      <c r="C678" s="6" t="str">
        <f t="shared" si="1"/>
        <v/>
      </c>
      <c r="J678" s="7" t="str">
        <f>IFERROR(__xludf.DUMMYFUNCTION("IF($C678 = """", """", IFNA(
  ROWS(
    FILTER(
      Events!$G$2:$G1000,
      Events!$B$2:$B1000 &gt;= TODAY() - 90,
      REGEXMATCH(
        "","" &amp; SUBSTITUTE(Events!$G$2:$G1000, "" "", """") &amp; "","",
        "","" &amp; SUBSTITUTE($C678, "" "", """") &amp; """&amp;",""
      )
    )
  ),
0)
)"),"")</f>
        <v/>
      </c>
      <c r="K678" s="7" t="str">
        <f t="shared" si="2"/>
        <v>#N/A</v>
      </c>
    </row>
    <row r="679">
      <c r="C679" s="6" t="str">
        <f t="shared" si="1"/>
        <v/>
      </c>
      <c r="J679" s="7" t="str">
        <f>IFERROR(__xludf.DUMMYFUNCTION("IF($C679 = """", """", IFNA(
  ROWS(
    FILTER(
      Events!$G$2:$G1000,
      Events!$B$2:$B1000 &gt;= TODAY() - 90,
      REGEXMATCH(
        "","" &amp; SUBSTITUTE(Events!$G$2:$G1000, "" "", """") &amp; "","",
        "","" &amp; SUBSTITUTE($C679, "" "", """") &amp; """&amp;",""
      )
    )
  ),
0)
)"),"")</f>
        <v/>
      </c>
      <c r="K679" s="7" t="str">
        <f t="shared" si="2"/>
        <v>#N/A</v>
      </c>
    </row>
    <row r="680">
      <c r="C680" s="6" t="str">
        <f t="shared" si="1"/>
        <v/>
      </c>
      <c r="J680" s="7" t="str">
        <f>IFERROR(__xludf.DUMMYFUNCTION("IF($C680 = """", """", IFNA(
  ROWS(
    FILTER(
      Events!$G$2:$G1000,
      Events!$B$2:$B1000 &gt;= TODAY() - 90,
      REGEXMATCH(
        "","" &amp; SUBSTITUTE(Events!$G$2:$G1000, "" "", """") &amp; "","",
        "","" &amp; SUBSTITUTE($C680, "" "", """") &amp; """&amp;",""
      )
    )
  ),
0)
)"),"")</f>
        <v/>
      </c>
      <c r="K680" s="7" t="str">
        <f t="shared" si="2"/>
        <v>#N/A</v>
      </c>
    </row>
    <row r="681">
      <c r="C681" s="6" t="str">
        <f t="shared" si="1"/>
        <v/>
      </c>
      <c r="J681" s="7" t="str">
        <f>IFERROR(__xludf.DUMMYFUNCTION("IF($C681 = """", """", IFNA(
  ROWS(
    FILTER(
      Events!$G$2:$G1000,
      Events!$B$2:$B1000 &gt;= TODAY() - 90,
      REGEXMATCH(
        "","" &amp; SUBSTITUTE(Events!$G$2:$G1000, "" "", """") &amp; "","",
        "","" &amp; SUBSTITUTE($C681, "" "", """") &amp; """&amp;",""
      )
    )
  ),
0)
)"),"")</f>
        <v/>
      </c>
      <c r="K681" s="7" t="str">
        <f t="shared" si="2"/>
        <v>#N/A</v>
      </c>
    </row>
    <row r="682">
      <c r="C682" s="6" t="str">
        <f t="shared" si="1"/>
        <v/>
      </c>
      <c r="J682" s="7" t="str">
        <f>IFERROR(__xludf.DUMMYFUNCTION("IF($C682 = """", """", IFNA(
  ROWS(
    FILTER(
      Events!$G$2:$G1000,
      Events!$B$2:$B1000 &gt;= TODAY() - 90,
      REGEXMATCH(
        "","" &amp; SUBSTITUTE(Events!$G$2:$G1000, "" "", """") &amp; "","",
        "","" &amp; SUBSTITUTE($C682, "" "", """") &amp; """&amp;",""
      )
    )
  ),
0)
)"),"")</f>
        <v/>
      </c>
      <c r="K682" s="7" t="str">
        <f t="shared" si="2"/>
        <v>#N/A</v>
      </c>
    </row>
    <row r="683">
      <c r="C683" s="6" t="str">
        <f t="shared" si="1"/>
        <v/>
      </c>
      <c r="J683" s="7" t="str">
        <f>IFERROR(__xludf.DUMMYFUNCTION("IF($C683 = """", """", IFNA(
  ROWS(
    FILTER(
      Events!$G$2:$G1000,
      Events!$B$2:$B1000 &gt;= TODAY() - 90,
      REGEXMATCH(
        "","" &amp; SUBSTITUTE(Events!$G$2:$G1000, "" "", """") &amp; "","",
        "","" &amp; SUBSTITUTE($C683, "" "", """") &amp; """&amp;",""
      )
    )
  ),
0)
)"),"")</f>
        <v/>
      </c>
      <c r="K683" s="7" t="str">
        <f t="shared" si="2"/>
        <v>#N/A</v>
      </c>
    </row>
    <row r="684">
      <c r="C684" s="6" t="str">
        <f t="shared" si="1"/>
        <v/>
      </c>
      <c r="J684" s="7" t="str">
        <f>IFERROR(__xludf.DUMMYFUNCTION("IF($C684 = """", """", IFNA(
  ROWS(
    FILTER(
      Events!$G$2:$G1000,
      Events!$B$2:$B1000 &gt;= TODAY() - 90,
      REGEXMATCH(
        "","" &amp; SUBSTITUTE(Events!$G$2:$G1000, "" "", """") &amp; "","",
        "","" &amp; SUBSTITUTE($C684, "" "", """") &amp; """&amp;",""
      )
    )
  ),
0)
)"),"")</f>
        <v/>
      </c>
      <c r="K684" s="7" t="str">
        <f t="shared" si="2"/>
        <v>#N/A</v>
      </c>
    </row>
    <row r="685">
      <c r="C685" s="6" t="str">
        <f t="shared" si="1"/>
        <v/>
      </c>
      <c r="J685" s="7" t="str">
        <f>IFERROR(__xludf.DUMMYFUNCTION("IF($C685 = """", """", IFNA(
  ROWS(
    FILTER(
      Events!$G$2:$G1000,
      Events!$B$2:$B1000 &gt;= TODAY() - 90,
      REGEXMATCH(
        "","" &amp; SUBSTITUTE(Events!$G$2:$G1000, "" "", """") &amp; "","",
        "","" &amp; SUBSTITUTE($C685, "" "", """") &amp; """&amp;",""
      )
    )
  ),
0)
)"),"")</f>
        <v/>
      </c>
      <c r="K685" s="7" t="str">
        <f t="shared" si="2"/>
        <v>#N/A</v>
      </c>
    </row>
    <row r="686">
      <c r="C686" s="6" t="str">
        <f t="shared" si="1"/>
        <v/>
      </c>
      <c r="J686" s="7" t="str">
        <f>IFERROR(__xludf.DUMMYFUNCTION("IF($C686 = """", """", IFNA(
  ROWS(
    FILTER(
      Events!$G$2:$G1000,
      Events!$B$2:$B1000 &gt;= TODAY() - 90,
      REGEXMATCH(
        "","" &amp; SUBSTITUTE(Events!$G$2:$G1000, "" "", """") &amp; "","",
        "","" &amp; SUBSTITUTE($C686, "" "", """") &amp; """&amp;",""
      )
    )
  ),
0)
)"),"")</f>
        <v/>
      </c>
      <c r="K686" s="7" t="str">
        <f t="shared" si="2"/>
        <v>#N/A</v>
      </c>
    </row>
    <row r="687">
      <c r="C687" s="6" t="str">
        <f t="shared" si="1"/>
        <v/>
      </c>
      <c r="J687" s="7" t="str">
        <f>IFERROR(__xludf.DUMMYFUNCTION("IF($C687 = """", """", IFNA(
  ROWS(
    FILTER(
      Events!$G$2:$G1000,
      Events!$B$2:$B1000 &gt;= TODAY() - 90,
      REGEXMATCH(
        "","" &amp; SUBSTITUTE(Events!$G$2:$G1000, "" "", """") &amp; "","",
        "","" &amp; SUBSTITUTE($C687, "" "", """") &amp; """&amp;",""
      )
    )
  ),
0)
)"),"")</f>
        <v/>
      </c>
      <c r="K687" s="7" t="str">
        <f t="shared" si="2"/>
        <v>#N/A</v>
      </c>
    </row>
    <row r="688">
      <c r="C688" s="6" t="str">
        <f t="shared" si="1"/>
        <v/>
      </c>
      <c r="J688" s="7" t="str">
        <f>IFERROR(__xludf.DUMMYFUNCTION("IF($C688 = """", """", IFNA(
  ROWS(
    FILTER(
      Events!$G$2:$G1000,
      Events!$B$2:$B1000 &gt;= TODAY() - 90,
      REGEXMATCH(
        "","" &amp; SUBSTITUTE(Events!$G$2:$G1000, "" "", """") &amp; "","",
        "","" &amp; SUBSTITUTE($C688, "" "", """") &amp; """&amp;",""
      )
    )
  ),
0)
)"),"")</f>
        <v/>
      </c>
      <c r="K688" s="7" t="str">
        <f t="shared" si="2"/>
        <v>#N/A</v>
      </c>
    </row>
    <row r="689">
      <c r="C689" s="6" t="str">
        <f t="shared" si="1"/>
        <v/>
      </c>
      <c r="J689" s="7" t="str">
        <f>IFERROR(__xludf.DUMMYFUNCTION("IF($C689 = """", """", IFNA(
  ROWS(
    FILTER(
      Events!$G$2:$G1000,
      Events!$B$2:$B1000 &gt;= TODAY() - 90,
      REGEXMATCH(
        "","" &amp; SUBSTITUTE(Events!$G$2:$G1000, "" "", """") &amp; "","",
        "","" &amp; SUBSTITUTE($C689, "" "", """") &amp; """&amp;",""
      )
    )
  ),
0)
)"),"")</f>
        <v/>
      </c>
      <c r="K689" s="7" t="str">
        <f t="shared" si="2"/>
        <v>#N/A</v>
      </c>
    </row>
    <row r="690">
      <c r="C690" s="6" t="str">
        <f t="shared" si="1"/>
        <v/>
      </c>
      <c r="J690" s="7" t="str">
        <f>IFERROR(__xludf.DUMMYFUNCTION("IF($C690 = """", """", IFNA(
  ROWS(
    FILTER(
      Events!$G$2:$G1000,
      Events!$B$2:$B1000 &gt;= TODAY() - 90,
      REGEXMATCH(
        "","" &amp; SUBSTITUTE(Events!$G$2:$G1000, "" "", """") &amp; "","",
        "","" &amp; SUBSTITUTE($C690, "" "", """") &amp; """&amp;",""
      )
    )
  ),
0)
)"),"")</f>
        <v/>
      </c>
      <c r="K690" s="7" t="str">
        <f t="shared" si="2"/>
        <v>#N/A</v>
      </c>
    </row>
    <row r="691">
      <c r="C691" s="6" t="str">
        <f t="shared" si="1"/>
        <v/>
      </c>
      <c r="J691" s="7" t="str">
        <f>IFERROR(__xludf.DUMMYFUNCTION("IF($C691 = """", """", IFNA(
  ROWS(
    FILTER(
      Events!$G$2:$G1000,
      Events!$B$2:$B1000 &gt;= TODAY() - 90,
      REGEXMATCH(
        "","" &amp; SUBSTITUTE(Events!$G$2:$G1000, "" "", """") &amp; "","",
        "","" &amp; SUBSTITUTE($C691, "" "", """") &amp; """&amp;",""
      )
    )
  ),
0)
)"),"")</f>
        <v/>
      </c>
      <c r="K691" s="7" t="str">
        <f t="shared" si="2"/>
        <v>#N/A</v>
      </c>
    </row>
    <row r="692">
      <c r="C692" s="6" t="str">
        <f t="shared" si="1"/>
        <v/>
      </c>
      <c r="J692" s="7" t="str">
        <f>IFERROR(__xludf.DUMMYFUNCTION("IF($C692 = """", """", IFNA(
  ROWS(
    FILTER(
      Events!$G$2:$G1000,
      Events!$B$2:$B1000 &gt;= TODAY() - 90,
      REGEXMATCH(
        "","" &amp; SUBSTITUTE(Events!$G$2:$G1000, "" "", """") &amp; "","",
        "","" &amp; SUBSTITUTE($C692, "" "", """") &amp; """&amp;",""
      )
    )
  ),
0)
)"),"")</f>
        <v/>
      </c>
      <c r="K692" s="7" t="str">
        <f t="shared" si="2"/>
        <v>#N/A</v>
      </c>
    </row>
    <row r="693">
      <c r="C693" s="6" t="str">
        <f t="shared" si="1"/>
        <v/>
      </c>
      <c r="J693" s="7" t="str">
        <f>IFERROR(__xludf.DUMMYFUNCTION("IF($C693 = """", """", IFNA(
  ROWS(
    FILTER(
      Events!$G$2:$G1000,
      Events!$B$2:$B1000 &gt;= TODAY() - 90,
      REGEXMATCH(
        "","" &amp; SUBSTITUTE(Events!$G$2:$G1000, "" "", """") &amp; "","",
        "","" &amp; SUBSTITUTE($C693, "" "", """") &amp; """&amp;",""
      )
    )
  ),
0)
)"),"")</f>
        <v/>
      </c>
      <c r="K693" s="7" t="str">
        <f t="shared" si="2"/>
        <v>#N/A</v>
      </c>
    </row>
    <row r="694">
      <c r="C694" s="6" t="str">
        <f t="shared" si="1"/>
        <v/>
      </c>
      <c r="J694" s="7" t="str">
        <f>IFERROR(__xludf.DUMMYFUNCTION("IF($C694 = """", """", IFNA(
  ROWS(
    FILTER(
      Events!$G$2:$G1000,
      Events!$B$2:$B1000 &gt;= TODAY() - 90,
      REGEXMATCH(
        "","" &amp; SUBSTITUTE(Events!$G$2:$G1000, "" "", """") &amp; "","",
        "","" &amp; SUBSTITUTE($C694, "" "", """") &amp; """&amp;",""
      )
    )
  ),
0)
)"),"")</f>
        <v/>
      </c>
      <c r="K694" s="7" t="str">
        <f t="shared" si="2"/>
        <v>#N/A</v>
      </c>
    </row>
    <row r="695">
      <c r="C695" s="6" t="str">
        <f t="shared" si="1"/>
        <v/>
      </c>
      <c r="J695" s="7" t="str">
        <f>IFERROR(__xludf.DUMMYFUNCTION("IF($C695 = """", """", IFNA(
  ROWS(
    FILTER(
      Events!$G$2:$G1000,
      Events!$B$2:$B1000 &gt;= TODAY() - 90,
      REGEXMATCH(
        "","" &amp; SUBSTITUTE(Events!$G$2:$G1000, "" "", """") &amp; "","",
        "","" &amp; SUBSTITUTE($C695, "" "", """") &amp; """&amp;",""
      )
    )
  ),
0)
)"),"")</f>
        <v/>
      </c>
      <c r="K695" s="7" t="str">
        <f t="shared" si="2"/>
        <v>#N/A</v>
      </c>
    </row>
    <row r="696">
      <c r="C696" s="6" t="str">
        <f t="shared" si="1"/>
        <v/>
      </c>
      <c r="J696" s="7" t="str">
        <f>IFERROR(__xludf.DUMMYFUNCTION("IF($C696 = """", """", IFNA(
  ROWS(
    FILTER(
      Events!$G$2:$G1000,
      Events!$B$2:$B1000 &gt;= TODAY() - 90,
      REGEXMATCH(
        "","" &amp; SUBSTITUTE(Events!$G$2:$G1000, "" "", """") &amp; "","",
        "","" &amp; SUBSTITUTE($C696, "" "", """") &amp; """&amp;",""
      )
    )
  ),
0)
)"),"")</f>
        <v/>
      </c>
      <c r="K696" s="7" t="str">
        <f t="shared" si="2"/>
        <v>#N/A</v>
      </c>
    </row>
    <row r="697">
      <c r="C697" s="6" t="str">
        <f t="shared" si="1"/>
        <v/>
      </c>
      <c r="J697" s="7" t="str">
        <f>IFERROR(__xludf.DUMMYFUNCTION("IF($C697 = """", """", IFNA(
  ROWS(
    FILTER(
      Events!$G$2:$G1000,
      Events!$B$2:$B1000 &gt;= TODAY() - 90,
      REGEXMATCH(
        "","" &amp; SUBSTITUTE(Events!$G$2:$G1000, "" "", """") &amp; "","",
        "","" &amp; SUBSTITUTE($C697, "" "", """") &amp; """&amp;",""
      )
    )
  ),
0)
)"),"")</f>
        <v/>
      </c>
      <c r="K697" s="7" t="str">
        <f t="shared" si="2"/>
        <v>#N/A</v>
      </c>
    </row>
    <row r="698">
      <c r="C698" s="6" t="str">
        <f t="shared" si="1"/>
        <v/>
      </c>
      <c r="J698" s="7" t="str">
        <f>IFERROR(__xludf.DUMMYFUNCTION("IF($C698 = """", """", IFNA(
  ROWS(
    FILTER(
      Events!$G$2:$G1000,
      Events!$B$2:$B1000 &gt;= TODAY() - 90,
      REGEXMATCH(
        "","" &amp; SUBSTITUTE(Events!$G$2:$G1000, "" "", """") &amp; "","",
        "","" &amp; SUBSTITUTE($C698, "" "", """") &amp; """&amp;",""
      )
    )
  ),
0)
)"),"")</f>
        <v/>
      </c>
      <c r="K698" s="7" t="str">
        <f t="shared" si="2"/>
        <v>#N/A</v>
      </c>
    </row>
    <row r="699">
      <c r="C699" s="6" t="str">
        <f t="shared" si="1"/>
        <v/>
      </c>
      <c r="J699" s="7" t="str">
        <f>IFERROR(__xludf.DUMMYFUNCTION("IF($C699 = """", """", IFNA(
  ROWS(
    FILTER(
      Events!$G$2:$G1000,
      Events!$B$2:$B1000 &gt;= TODAY() - 90,
      REGEXMATCH(
        "","" &amp; SUBSTITUTE(Events!$G$2:$G1000, "" "", """") &amp; "","",
        "","" &amp; SUBSTITUTE($C699, "" "", """") &amp; """&amp;",""
      )
    )
  ),
0)
)"),"")</f>
        <v/>
      </c>
      <c r="K699" s="7" t="str">
        <f t="shared" si="2"/>
        <v>#N/A</v>
      </c>
    </row>
    <row r="700">
      <c r="C700" s="6" t="str">
        <f t="shared" si="1"/>
        <v/>
      </c>
      <c r="J700" s="7" t="str">
        <f>IFERROR(__xludf.DUMMYFUNCTION("IF($C700 = """", """", IFNA(
  ROWS(
    FILTER(
      Events!$G$2:$G1000,
      Events!$B$2:$B1000 &gt;= TODAY() - 90,
      REGEXMATCH(
        "","" &amp; SUBSTITUTE(Events!$G$2:$G1000, "" "", """") &amp; "","",
        "","" &amp; SUBSTITUTE($C700, "" "", """") &amp; """&amp;",""
      )
    )
  ),
0)
)"),"")</f>
        <v/>
      </c>
      <c r="K700" s="7" t="str">
        <f t="shared" si="2"/>
        <v>#N/A</v>
      </c>
    </row>
    <row r="701">
      <c r="C701" s="6" t="str">
        <f t="shared" si="1"/>
        <v/>
      </c>
      <c r="J701" s="7" t="str">
        <f>IFERROR(__xludf.DUMMYFUNCTION("IF($C701 = """", """", IFNA(
  ROWS(
    FILTER(
      Events!$G$2:$G1000,
      Events!$B$2:$B1000 &gt;= TODAY() - 90,
      REGEXMATCH(
        "","" &amp; SUBSTITUTE(Events!$G$2:$G1000, "" "", """") &amp; "","",
        "","" &amp; SUBSTITUTE($C701, "" "", """") &amp; """&amp;",""
      )
    )
  ),
0)
)"),"")</f>
        <v/>
      </c>
      <c r="K701" s="7" t="str">
        <f t="shared" si="2"/>
        <v>#N/A</v>
      </c>
    </row>
    <row r="702">
      <c r="C702" s="6" t="str">
        <f t="shared" si="1"/>
        <v/>
      </c>
      <c r="J702" s="7" t="str">
        <f>IFERROR(__xludf.DUMMYFUNCTION("IF($C702 = """", """", IFNA(
  ROWS(
    FILTER(
      Events!$G$2:$G1000,
      Events!$B$2:$B1000 &gt;= TODAY() - 90,
      REGEXMATCH(
        "","" &amp; SUBSTITUTE(Events!$G$2:$G1000, "" "", """") &amp; "","",
        "","" &amp; SUBSTITUTE($C702, "" "", """") &amp; """&amp;",""
      )
    )
  ),
0)
)"),"")</f>
        <v/>
      </c>
      <c r="K702" s="7" t="str">
        <f t="shared" si="2"/>
        <v>#N/A</v>
      </c>
    </row>
    <row r="703">
      <c r="C703" s="6" t="str">
        <f t="shared" si="1"/>
        <v/>
      </c>
      <c r="J703" s="7" t="str">
        <f>IFERROR(__xludf.DUMMYFUNCTION("IF($C703 = """", """", IFNA(
  ROWS(
    FILTER(
      Events!$G$2:$G1000,
      Events!$B$2:$B1000 &gt;= TODAY() - 90,
      REGEXMATCH(
        "","" &amp; SUBSTITUTE(Events!$G$2:$G1000, "" "", """") &amp; "","",
        "","" &amp; SUBSTITUTE($C703, "" "", """") &amp; """&amp;",""
      )
    )
  ),
0)
)"),"")</f>
        <v/>
      </c>
      <c r="K703" s="7" t="str">
        <f t="shared" si="2"/>
        <v>#N/A</v>
      </c>
    </row>
    <row r="704">
      <c r="C704" s="6" t="str">
        <f t="shared" si="1"/>
        <v/>
      </c>
      <c r="J704" s="7" t="str">
        <f>IFERROR(__xludf.DUMMYFUNCTION("IF($C704 = """", """", IFNA(
  ROWS(
    FILTER(
      Events!$G$2:$G1000,
      Events!$B$2:$B1000 &gt;= TODAY() - 90,
      REGEXMATCH(
        "","" &amp; SUBSTITUTE(Events!$G$2:$G1000, "" "", """") &amp; "","",
        "","" &amp; SUBSTITUTE($C704, "" "", """") &amp; """&amp;",""
      )
    )
  ),
0)
)"),"")</f>
        <v/>
      </c>
      <c r="K704" s="7" t="str">
        <f t="shared" si="2"/>
        <v>#N/A</v>
      </c>
    </row>
    <row r="705">
      <c r="C705" s="6" t="str">
        <f t="shared" si="1"/>
        <v/>
      </c>
      <c r="J705" s="7" t="str">
        <f>IFERROR(__xludf.DUMMYFUNCTION("IF($C705 = """", """", IFNA(
  ROWS(
    FILTER(
      Events!$G$2:$G1000,
      Events!$B$2:$B1000 &gt;= TODAY() - 90,
      REGEXMATCH(
        "","" &amp; SUBSTITUTE(Events!$G$2:$G1000, "" "", """") &amp; "","",
        "","" &amp; SUBSTITUTE($C705, "" "", """") &amp; """&amp;",""
      )
    )
  ),
0)
)"),"")</f>
        <v/>
      </c>
      <c r="K705" s="7" t="str">
        <f t="shared" si="2"/>
        <v>#N/A</v>
      </c>
    </row>
    <row r="706">
      <c r="C706" s="6" t="str">
        <f t="shared" si="1"/>
        <v/>
      </c>
      <c r="J706" s="7" t="str">
        <f>IFERROR(__xludf.DUMMYFUNCTION("IF($C706 = """", """", IFNA(
  ROWS(
    FILTER(
      Events!$G$2:$G1000,
      Events!$B$2:$B1000 &gt;= TODAY() - 90,
      REGEXMATCH(
        "","" &amp; SUBSTITUTE(Events!$G$2:$G1000, "" "", """") &amp; "","",
        "","" &amp; SUBSTITUTE($C706, "" "", """") &amp; """&amp;",""
      )
    )
  ),
0)
)"),"")</f>
        <v/>
      </c>
      <c r="K706" s="7" t="str">
        <f t="shared" si="2"/>
        <v>#N/A</v>
      </c>
    </row>
    <row r="707">
      <c r="C707" s="6" t="str">
        <f t="shared" si="1"/>
        <v/>
      </c>
      <c r="J707" s="7" t="str">
        <f>IFERROR(__xludf.DUMMYFUNCTION("IF($C707 = """", """", IFNA(
  ROWS(
    FILTER(
      Events!$G$2:$G1000,
      Events!$B$2:$B1000 &gt;= TODAY() - 90,
      REGEXMATCH(
        "","" &amp; SUBSTITUTE(Events!$G$2:$G1000, "" "", """") &amp; "","",
        "","" &amp; SUBSTITUTE($C707, "" "", """") &amp; """&amp;",""
      )
    )
  ),
0)
)"),"")</f>
        <v/>
      </c>
      <c r="K707" s="7" t="str">
        <f t="shared" si="2"/>
        <v>#N/A</v>
      </c>
    </row>
    <row r="708">
      <c r="C708" s="6" t="str">
        <f t="shared" si="1"/>
        <v/>
      </c>
      <c r="J708" s="7" t="str">
        <f>IFERROR(__xludf.DUMMYFUNCTION("IF($C708 = """", """", IFNA(
  ROWS(
    FILTER(
      Events!$G$2:$G1000,
      Events!$B$2:$B1000 &gt;= TODAY() - 90,
      REGEXMATCH(
        "","" &amp; SUBSTITUTE(Events!$G$2:$G1000, "" "", """") &amp; "","",
        "","" &amp; SUBSTITUTE($C708, "" "", """") &amp; """&amp;",""
      )
    )
  ),
0)
)"),"")</f>
        <v/>
      </c>
      <c r="K708" s="7" t="str">
        <f t="shared" si="2"/>
        <v>#N/A</v>
      </c>
    </row>
    <row r="709">
      <c r="C709" s="6" t="str">
        <f t="shared" si="1"/>
        <v/>
      </c>
      <c r="J709" s="7" t="str">
        <f>IFERROR(__xludf.DUMMYFUNCTION("IF($C709 = """", """", IFNA(
  ROWS(
    FILTER(
      Events!$G$2:$G1000,
      Events!$B$2:$B1000 &gt;= TODAY() - 90,
      REGEXMATCH(
        "","" &amp; SUBSTITUTE(Events!$G$2:$G1000, "" "", """") &amp; "","",
        "","" &amp; SUBSTITUTE($C709, "" "", """") &amp; """&amp;",""
      )
    )
  ),
0)
)"),"")</f>
        <v/>
      </c>
      <c r="K709" s="7" t="str">
        <f t="shared" si="2"/>
        <v>#N/A</v>
      </c>
    </row>
    <row r="710">
      <c r="C710" s="6" t="str">
        <f t="shared" si="1"/>
        <v/>
      </c>
      <c r="J710" s="7" t="str">
        <f>IFERROR(__xludf.DUMMYFUNCTION("IF($C710 = """", """", IFNA(
  ROWS(
    FILTER(
      Events!$G$2:$G1000,
      Events!$B$2:$B1000 &gt;= TODAY() - 90,
      REGEXMATCH(
        "","" &amp; SUBSTITUTE(Events!$G$2:$G1000, "" "", """") &amp; "","",
        "","" &amp; SUBSTITUTE($C710, "" "", """") &amp; """&amp;",""
      )
    )
  ),
0)
)"),"")</f>
        <v/>
      </c>
      <c r="K710" s="7" t="str">
        <f t="shared" si="2"/>
        <v>#N/A</v>
      </c>
    </row>
    <row r="711">
      <c r="C711" s="6" t="str">
        <f t="shared" si="1"/>
        <v/>
      </c>
      <c r="J711" s="7" t="str">
        <f>IFERROR(__xludf.DUMMYFUNCTION("IF($C711 = """", """", IFNA(
  ROWS(
    FILTER(
      Events!$G$2:$G1000,
      Events!$B$2:$B1000 &gt;= TODAY() - 90,
      REGEXMATCH(
        "","" &amp; SUBSTITUTE(Events!$G$2:$G1000, "" "", """") &amp; "","",
        "","" &amp; SUBSTITUTE($C711, "" "", """") &amp; """&amp;",""
      )
    )
  ),
0)
)"),"")</f>
        <v/>
      </c>
      <c r="K711" s="7" t="str">
        <f t="shared" si="2"/>
        <v>#N/A</v>
      </c>
    </row>
    <row r="712">
      <c r="C712" s="6" t="str">
        <f t="shared" si="1"/>
        <v/>
      </c>
      <c r="J712" s="7" t="str">
        <f>IFERROR(__xludf.DUMMYFUNCTION("IF($C712 = """", """", IFNA(
  ROWS(
    FILTER(
      Events!$G$2:$G1000,
      Events!$B$2:$B1000 &gt;= TODAY() - 90,
      REGEXMATCH(
        "","" &amp; SUBSTITUTE(Events!$G$2:$G1000, "" "", """") &amp; "","",
        "","" &amp; SUBSTITUTE($C712, "" "", """") &amp; """&amp;",""
      )
    )
  ),
0)
)"),"")</f>
        <v/>
      </c>
      <c r="K712" s="7" t="str">
        <f t="shared" si="2"/>
        <v>#N/A</v>
      </c>
    </row>
    <row r="713">
      <c r="C713" s="6" t="str">
        <f t="shared" si="1"/>
        <v/>
      </c>
      <c r="J713" s="7" t="str">
        <f>IFERROR(__xludf.DUMMYFUNCTION("IF($C713 = """", """", IFNA(
  ROWS(
    FILTER(
      Events!$G$2:$G1000,
      Events!$B$2:$B1000 &gt;= TODAY() - 90,
      REGEXMATCH(
        "","" &amp; SUBSTITUTE(Events!$G$2:$G1000, "" "", """") &amp; "","",
        "","" &amp; SUBSTITUTE($C713, "" "", """") &amp; """&amp;",""
      )
    )
  ),
0)
)"),"")</f>
        <v/>
      </c>
      <c r="K713" s="7" t="str">
        <f t="shared" si="2"/>
        <v>#N/A</v>
      </c>
    </row>
    <row r="714">
      <c r="C714" s="6" t="str">
        <f t="shared" si="1"/>
        <v/>
      </c>
      <c r="J714" s="7" t="str">
        <f>IFERROR(__xludf.DUMMYFUNCTION("IF($C714 = """", """", IFNA(
  ROWS(
    FILTER(
      Events!$G$2:$G1000,
      Events!$B$2:$B1000 &gt;= TODAY() - 90,
      REGEXMATCH(
        "","" &amp; SUBSTITUTE(Events!$G$2:$G1000, "" "", """") &amp; "","",
        "","" &amp; SUBSTITUTE($C714, "" "", """") &amp; """&amp;",""
      )
    )
  ),
0)
)"),"")</f>
        <v/>
      </c>
      <c r="K714" s="7" t="str">
        <f t="shared" si="2"/>
        <v>#N/A</v>
      </c>
    </row>
    <row r="715">
      <c r="C715" s="6" t="str">
        <f t="shared" si="1"/>
        <v/>
      </c>
      <c r="J715" s="7" t="str">
        <f>IFERROR(__xludf.DUMMYFUNCTION("IF($C715 = """", """", IFNA(
  ROWS(
    FILTER(
      Events!$G$2:$G1000,
      Events!$B$2:$B1000 &gt;= TODAY() - 90,
      REGEXMATCH(
        "","" &amp; SUBSTITUTE(Events!$G$2:$G1000, "" "", """") &amp; "","",
        "","" &amp; SUBSTITUTE($C715, "" "", """") &amp; """&amp;",""
      )
    )
  ),
0)
)"),"")</f>
        <v/>
      </c>
      <c r="K715" s="7" t="str">
        <f t="shared" si="2"/>
        <v>#N/A</v>
      </c>
    </row>
    <row r="716">
      <c r="C716" s="6" t="str">
        <f t="shared" si="1"/>
        <v/>
      </c>
      <c r="J716" s="7" t="str">
        <f>IFERROR(__xludf.DUMMYFUNCTION("IF($C716 = """", """", IFNA(
  ROWS(
    FILTER(
      Events!$G$2:$G1000,
      Events!$B$2:$B1000 &gt;= TODAY() - 90,
      REGEXMATCH(
        "","" &amp; SUBSTITUTE(Events!$G$2:$G1000, "" "", """") &amp; "","",
        "","" &amp; SUBSTITUTE($C716, "" "", """") &amp; """&amp;",""
      )
    )
  ),
0)
)"),"")</f>
        <v/>
      </c>
      <c r="K716" s="7" t="str">
        <f t="shared" si="2"/>
        <v>#N/A</v>
      </c>
    </row>
    <row r="717">
      <c r="C717" s="6" t="str">
        <f t="shared" si="1"/>
        <v/>
      </c>
      <c r="J717" s="7" t="str">
        <f>IFERROR(__xludf.DUMMYFUNCTION("IF($C717 = """", """", IFNA(
  ROWS(
    FILTER(
      Events!$G$2:$G1000,
      Events!$B$2:$B1000 &gt;= TODAY() - 90,
      REGEXMATCH(
        "","" &amp; SUBSTITUTE(Events!$G$2:$G1000, "" "", """") &amp; "","",
        "","" &amp; SUBSTITUTE($C717, "" "", """") &amp; """&amp;",""
      )
    )
  ),
0)
)"),"")</f>
        <v/>
      </c>
      <c r="K717" s="7" t="str">
        <f t="shared" si="2"/>
        <v>#N/A</v>
      </c>
    </row>
    <row r="718">
      <c r="C718" s="6" t="str">
        <f t="shared" si="1"/>
        <v/>
      </c>
      <c r="J718" s="7" t="str">
        <f>IFERROR(__xludf.DUMMYFUNCTION("IF($C718 = """", """", IFNA(
  ROWS(
    FILTER(
      Events!$G$2:$G1000,
      Events!$B$2:$B1000 &gt;= TODAY() - 90,
      REGEXMATCH(
        "","" &amp; SUBSTITUTE(Events!$G$2:$G1000, "" "", """") &amp; "","",
        "","" &amp; SUBSTITUTE($C718, "" "", """") &amp; """&amp;",""
      )
    )
  ),
0)
)"),"")</f>
        <v/>
      </c>
      <c r="K718" s="7" t="str">
        <f t="shared" si="2"/>
        <v>#N/A</v>
      </c>
    </row>
    <row r="719">
      <c r="C719" s="6" t="str">
        <f t="shared" si="1"/>
        <v/>
      </c>
      <c r="J719" s="7" t="str">
        <f>IFERROR(__xludf.DUMMYFUNCTION("IF($C719 = """", """", IFNA(
  ROWS(
    FILTER(
      Events!$G$2:$G1000,
      Events!$B$2:$B1000 &gt;= TODAY() - 90,
      REGEXMATCH(
        "","" &amp; SUBSTITUTE(Events!$G$2:$G1000, "" "", """") &amp; "","",
        "","" &amp; SUBSTITUTE($C719, "" "", """") &amp; """&amp;",""
      )
    )
  ),
0)
)"),"")</f>
        <v/>
      </c>
      <c r="K719" s="7" t="str">
        <f t="shared" si="2"/>
        <v>#N/A</v>
      </c>
    </row>
    <row r="720">
      <c r="C720" s="6" t="str">
        <f t="shared" si="1"/>
        <v/>
      </c>
      <c r="J720" s="7" t="str">
        <f>IFERROR(__xludf.DUMMYFUNCTION("IF($C720 = """", """", IFNA(
  ROWS(
    FILTER(
      Events!$G$2:$G1000,
      Events!$B$2:$B1000 &gt;= TODAY() - 90,
      REGEXMATCH(
        "","" &amp; SUBSTITUTE(Events!$G$2:$G1000, "" "", """") &amp; "","",
        "","" &amp; SUBSTITUTE($C720, "" "", """") &amp; """&amp;",""
      )
    )
  ),
0)
)"),"")</f>
        <v/>
      </c>
      <c r="K720" s="7" t="str">
        <f t="shared" si="2"/>
        <v>#N/A</v>
      </c>
    </row>
    <row r="721">
      <c r="C721" s="6" t="str">
        <f t="shared" si="1"/>
        <v/>
      </c>
      <c r="J721" s="7" t="str">
        <f>IFERROR(__xludf.DUMMYFUNCTION("IF($C721 = """", """", IFNA(
  ROWS(
    FILTER(
      Events!$G$2:$G1000,
      Events!$B$2:$B1000 &gt;= TODAY() - 90,
      REGEXMATCH(
        "","" &amp; SUBSTITUTE(Events!$G$2:$G1000, "" "", """") &amp; "","",
        "","" &amp; SUBSTITUTE($C721, "" "", """") &amp; """&amp;",""
      )
    )
  ),
0)
)"),"")</f>
        <v/>
      </c>
      <c r="K721" s="7" t="str">
        <f t="shared" si="2"/>
        <v>#N/A</v>
      </c>
    </row>
    <row r="722">
      <c r="C722" s="6" t="str">
        <f t="shared" si="1"/>
        <v/>
      </c>
      <c r="J722" s="7" t="str">
        <f>IFERROR(__xludf.DUMMYFUNCTION("IF($C722 = """", """", IFNA(
  ROWS(
    FILTER(
      Events!$G$2:$G1000,
      Events!$B$2:$B1000 &gt;= TODAY() - 90,
      REGEXMATCH(
        "","" &amp; SUBSTITUTE(Events!$G$2:$G1000, "" "", """") &amp; "","",
        "","" &amp; SUBSTITUTE($C722, "" "", """") &amp; """&amp;",""
      )
    )
  ),
0)
)"),"")</f>
        <v/>
      </c>
      <c r="K722" s="7" t="str">
        <f t="shared" si="2"/>
        <v>#N/A</v>
      </c>
    </row>
    <row r="723">
      <c r="C723" s="6" t="str">
        <f t="shared" si="1"/>
        <v/>
      </c>
      <c r="J723" s="7" t="str">
        <f>IFERROR(__xludf.DUMMYFUNCTION("IF($C723 = """", """", IFNA(
  ROWS(
    FILTER(
      Events!$G$2:$G1000,
      Events!$B$2:$B1000 &gt;= TODAY() - 90,
      REGEXMATCH(
        "","" &amp; SUBSTITUTE(Events!$G$2:$G1000, "" "", """") &amp; "","",
        "","" &amp; SUBSTITUTE($C723, "" "", """") &amp; """&amp;",""
      )
    )
  ),
0)
)"),"")</f>
        <v/>
      </c>
      <c r="K723" s="7" t="str">
        <f t="shared" si="2"/>
        <v>#N/A</v>
      </c>
    </row>
    <row r="724">
      <c r="C724" s="6" t="str">
        <f t="shared" si="1"/>
        <v/>
      </c>
      <c r="J724" s="7" t="str">
        <f>IFERROR(__xludf.DUMMYFUNCTION("IF($C724 = """", """", IFNA(
  ROWS(
    FILTER(
      Events!$G$2:$G1000,
      Events!$B$2:$B1000 &gt;= TODAY() - 90,
      REGEXMATCH(
        "","" &amp; SUBSTITUTE(Events!$G$2:$G1000, "" "", """") &amp; "","",
        "","" &amp; SUBSTITUTE($C724, "" "", """") &amp; """&amp;",""
      )
    )
  ),
0)
)"),"")</f>
        <v/>
      </c>
      <c r="K724" s="7" t="str">
        <f t="shared" si="2"/>
        <v>#N/A</v>
      </c>
    </row>
    <row r="725">
      <c r="C725" s="6" t="str">
        <f t="shared" si="1"/>
        <v/>
      </c>
      <c r="J725" s="7" t="str">
        <f>IFERROR(__xludf.DUMMYFUNCTION("IF($C725 = """", """", IFNA(
  ROWS(
    FILTER(
      Events!$G$2:$G1000,
      Events!$B$2:$B1000 &gt;= TODAY() - 90,
      REGEXMATCH(
        "","" &amp; SUBSTITUTE(Events!$G$2:$G1000, "" "", """") &amp; "","",
        "","" &amp; SUBSTITUTE($C725, "" "", """") &amp; """&amp;",""
      )
    )
  ),
0)
)"),"")</f>
        <v/>
      </c>
      <c r="K725" s="7" t="str">
        <f t="shared" si="2"/>
        <v>#N/A</v>
      </c>
    </row>
    <row r="726">
      <c r="C726" s="6" t="str">
        <f t="shared" si="1"/>
        <v/>
      </c>
      <c r="J726" s="7" t="str">
        <f>IFERROR(__xludf.DUMMYFUNCTION("IF($C726 = """", """", IFNA(
  ROWS(
    FILTER(
      Events!$G$2:$G1000,
      Events!$B$2:$B1000 &gt;= TODAY() - 90,
      REGEXMATCH(
        "","" &amp; SUBSTITUTE(Events!$G$2:$G1000, "" "", """") &amp; "","",
        "","" &amp; SUBSTITUTE($C726, "" "", """") &amp; """&amp;",""
      )
    )
  ),
0)
)"),"")</f>
        <v/>
      </c>
      <c r="K726" s="7" t="str">
        <f t="shared" si="2"/>
        <v>#N/A</v>
      </c>
    </row>
    <row r="727">
      <c r="C727" s="6" t="str">
        <f t="shared" si="1"/>
        <v/>
      </c>
      <c r="J727" s="7" t="str">
        <f>IFERROR(__xludf.DUMMYFUNCTION("IF($C727 = """", """", IFNA(
  ROWS(
    FILTER(
      Events!$G$2:$G1000,
      Events!$B$2:$B1000 &gt;= TODAY() - 90,
      REGEXMATCH(
        "","" &amp; SUBSTITUTE(Events!$G$2:$G1000, "" "", """") &amp; "","",
        "","" &amp; SUBSTITUTE($C727, "" "", """") &amp; """&amp;",""
      )
    )
  ),
0)
)"),"")</f>
        <v/>
      </c>
      <c r="K727" s="7" t="str">
        <f t="shared" si="2"/>
        <v>#N/A</v>
      </c>
    </row>
    <row r="728">
      <c r="C728" s="6" t="str">
        <f t="shared" si="1"/>
        <v/>
      </c>
      <c r="J728" s="7" t="str">
        <f>IFERROR(__xludf.DUMMYFUNCTION("IF($C728 = """", """", IFNA(
  ROWS(
    FILTER(
      Events!$G$2:$G1000,
      Events!$B$2:$B1000 &gt;= TODAY() - 90,
      REGEXMATCH(
        "","" &amp; SUBSTITUTE(Events!$G$2:$G1000, "" "", """") &amp; "","",
        "","" &amp; SUBSTITUTE($C728, "" "", """") &amp; """&amp;",""
      )
    )
  ),
0)
)"),"")</f>
        <v/>
      </c>
      <c r="K728" s="7" t="str">
        <f t="shared" si="2"/>
        <v>#N/A</v>
      </c>
    </row>
    <row r="729">
      <c r="C729" s="6" t="str">
        <f t="shared" si="1"/>
        <v/>
      </c>
      <c r="J729" s="7" t="str">
        <f>IFERROR(__xludf.DUMMYFUNCTION("IF($C729 = """", """", IFNA(
  ROWS(
    FILTER(
      Events!$G$2:$G1000,
      Events!$B$2:$B1000 &gt;= TODAY() - 90,
      REGEXMATCH(
        "","" &amp; SUBSTITUTE(Events!$G$2:$G1000, "" "", """") &amp; "","",
        "","" &amp; SUBSTITUTE($C729, "" "", """") &amp; """&amp;",""
      )
    )
  ),
0)
)"),"")</f>
        <v/>
      </c>
      <c r="K729" s="7" t="str">
        <f t="shared" si="2"/>
        <v>#N/A</v>
      </c>
    </row>
    <row r="730">
      <c r="C730" s="6" t="str">
        <f t="shared" si="1"/>
        <v/>
      </c>
      <c r="J730" s="7" t="str">
        <f>IFERROR(__xludf.DUMMYFUNCTION("IF($C730 = """", """", IFNA(
  ROWS(
    FILTER(
      Events!$G$2:$G1000,
      Events!$B$2:$B1000 &gt;= TODAY() - 90,
      REGEXMATCH(
        "","" &amp; SUBSTITUTE(Events!$G$2:$G1000, "" "", """") &amp; "","",
        "","" &amp; SUBSTITUTE($C730, "" "", """") &amp; """&amp;",""
      )
    )
  ),
0)
)"),"")</f>
        <v/>
      </c>
      <c r="K730" s="7" t="str">
        <f t="shared" si="2"/>
        <v>#N/A</v>
      </c>
    </row>
    <row r="731">
      <c r="C731" s="6" t="str">
        <f t="shared" si="1"/>
        <v/>
      </c>
      <c r="J731" s="7" t="str">
        <f>IFERROR(__xludf.DUMMYFUNCTION("IF($C731 = """", """", IFNA(
  ROWS(
    FILTER(
      Events!$G$2:$G1000,
      Events!$B$2:$B1000 &gt;= TODAY() - 90,
      REGEXMATCH(
        "","" &amp; SUBSTITUTE(Events!$G$2:$G1000, "" "", """") &amp; "","",
        "","" &amp; SUBSTITUTE($C731, "" "", """") &amp; """&amp;",""
      )
    )
  ),
0)
)"),"")</f>
        <v/>
      </c>
      <c r="K731" s="7" t="str">
        <f t="shared" si="2"/>
        <v>#N/A</v>
      </c>
    </row>
    <row r="732">
      <c r="C732" s="6" t="str">
        <f t="shared" si="1"/>
        <v/>
      </c>
      <c r="J732" s="7" t="str">
        <f>IFERROR(__xludf.DUMMYFUNCTION("IF($C732 = """", """", IFNA(
  ROWS(
    FILTER(
      Events!$G$2:$G1000,
      Events!$B$2:$B1000 &gt;= TODAY() - 90,
      REGEXMATCH(
        "","" &amp; SUBSTITUTE(Events!$G$2:$G1000, "" "", """") &amp; "","",
        "","" &amp; SUBSTITUTE($C732, "" "", """") &amp; """&amp;",""
      )
    )
  ),
0)
)"),"")</f>
        <v/>
      </c>
      <c r="K732" s="7" t="str">
        <f t="shared" si="2"/>
        <v>#N/A</v>
      </c>
    </row>
    <row r="733">
      <c r="C733" s="6" t="str">
        <f t="shared" si="1"/>
        <v/>
      </c>
      <c r="J733" s="7" t="str">
        <f>IFERROR(__xludf.DUMMYFUNCTION("IF($C733 = """", """", IFNA(
  ROWS(
    FILTER(
      Events!$G$2:$G1000,
      Events!$B$2:$B1000 &gt;= TODAY() - 90,
      REGEXMATCH(
        "","" &amp; SUBSTITUTE(Events!$G$2:$G1000, "" "", """") &amp; "","",
        "","" &amp; SUBSTITUTE($C733, "" "", """") &amp; """&amp;",""
      )
    )
  ),
0)
)"),"")</f>
        <v/>
      </c>
      <c r="K733" s="7" t="str">
        <f t="shared" si="2"/>
        <v>#N/A</v>
      </c>
    </row>
    <row r="734">
      <c r="C734" s="6" t="str">
        <f t="shared" si="1"/>
        <v/>
      </c>
      <c r="J734" s="7" t="str">
        <f>IFERROR(__xludf.DUMMYFUNCTION("IF($C734 = """", """", IFNA(
  ROWS(
    FILTER(
      Events!$G$2:$G1000,
      Events!$B$2:$B1000 &gt;= TODAY() - 90,
      REGEXMATCH(
        "","" &amp; SUBSTITUTE(Events!$G$2:$G1000, "" "", """") &amp; "","",
        "","" &amp; SUBSTITUTE($C734, "" "", """") &amp; """&amp;",""
      )
    )
  ),
0)
)"),"")</f>
        <v/>
      </c>
      <c r="K734" s="7" t="str">
        <f t="shared" si="2"/>
        <v>#N/A</v>
      </c>
    </row>
    <row r="735">
      <c r="C735" s="6" t="str">
        <f t="shared" si="1"/>
        <v/>
      </c>
      <c r="J735" s="7" t="str">
        <f>IFERROR(__xludf.DUMMYFUNCTION("IF($C735 = """", """", IFNA(
  ROWS(
    FILTER(
      Events!$G$2:$G1000,
      Events!$B$2:$B1000 &gt;= TODAY() - 90,
      REGEXMATCH(
        "","" &amp; SUBSTITUTE(Events!$G$2:$G1000, "" "", """") &amp; "","",
        "","" &amp; SUBSTITUTE($C735, "" "", """") &amp; """&amp;",""
      )
    )
  ),
0)
)"),"")</f>
        <v/>
      </c>
      <c r="K735" s="7" t="str">
        <f t="shared" si="2"/>
        <v>#N/A</v>
      </c>
    </row>
    <row r="736">
      <c r="C736" s="6" t="str">
        <f t="shared" si="1"/>
        <v/>
      </c>
      <c r="J736" s="7" t="str">
        <f>IFERROR(__xludf.DUMMYFUNCTION("IF($C736 = """", """", IFNA(
  ROWS(
    FILTER(
      Events!$G$2:$G1000,
      Events!$B$2:$B1000 &gt;= TODAY() - 90,
      REGEXMATCH(
        "","" &amp; SUBSTITUTE(Events!$G$2:$G1000, "" "", """") &amp; "","",
        "","" &amp; SUBSTITUTE($C736, "" "", """") &amp; """&amp;",""
      )
    )
  ),
0)
)"),"")</f>
        <v/>
      </c>
      <c r="K736" s="7" t="str">
        <f t="shared" si="2"/>
        <v>#N/A</v>
      </c>
    </row>
    <row r="737">
      <c r="C737" s="6" t="str">
        <f t="shared" si="1"/>
        <v/>
      </c>
      <c r="J737" s="7" t="str">
        <f>IFERROR(__xludf.DUMMYFUNCTION("IF($C737 = """", """", IFNA(
  ROWS(
    FILTER(
      Events!$G$2:$G1000,
      Events!$B$2:$B1000 &gt;= TODAY() - 90,
      REGEXMATCH(
        "","" &amp; SUBSTITUTE(Events!$G$2:$G1000, "" "", """") &amp; "","",
        "","" &amp; SUBSTITUTE($C737, "" "", """") &amp; """&amp;",""
      )
    )
  ),
0)
)"),"")</f>
        <v/>
      </c>
      <c r="K737" s="7" t="str">
        <f t="shared" si="2"/>
        <v>#N/A</v>
      </c>
    </row>
    <row r="738">
      <c r="C738" s="6" t="str">
        <f t="shared" si="1"/>
        <v/>
      </c>
      <c r="J738" s="7" t="str">
        <f>IFERROR(__xludf.DUMMYFUNCTION("IF($C738 = """", """", IFNA(
  ROWS(
    FILTER(
      Events!$G$2:$G1000,
      Events!$B$2:$B1000 &gt;= TODAY() - 90,
      REGEXMATCH(
        "","" &amp; SUBSTITUTE(Events!$G$2:$G1000, "" "", """") &amp; "","",
        "","" &amp; SUBSTITUTE($C738, "" "", """") &amp; """&amp;",""
      )
    )
  ),
0)
)"),"")</f>
        <v/>
      </c>
      <c r="K738" s="7" t="str">
        <f t="shared" si="2"/>
        <v>#N/A</v>
      </c>
    </row>
    <row r="739">
      <c r="C739" s="6" t="str">
        <f t="shared" si="1"/>
        <v/>
      </c>
      <c r="J739" s="7" t="str">
        <f>IFERROR(__xludf.DUMMYFUNCTION("IF($C739 = """", """", IFNA(
  ROWS(
    FILTER(
      Events!$G$2:$G1000,
      Events!$B$2:$B1000 &gt;= TODAY() - 90,
      REGEXMATCH(
        "","" &amp; SUBSTITUTE(Events!$G$2:$G1000, "" "", """") &amp; "","",
        "","" &amp; SUBSTITUTE($C739, "" "", """") &amp; """&amp;",""
      )
    )
  ),
0)
)"),"")</f>
        <v/>
      </c>
      <c r="K739" s="7" t="str">
        <f t="shared" si="2"/>
        <v>#N/A</v>
      </c>
    </row>
    <row r="740">
      <c r="C740" s="6" t="str">
        <f t="shared" si="1"/>
        <v/>
      </c>
      <c r="J740" s="7" t="str">
        <f>IFERROR(__xludf.DUMMYFUNCTION("IF($C740 = """", """", IFNA(
  ROWS(
    FILTER(
      Events!$G$2:$G1000,
      Events!$B$2:$B1000 &gt;= TODAY() - 90,
      REGEXMATCH(
        "","" &amp; SUBSTITUTE(Events!$G$2:$G1000, "" "", """") &amp; "","",
        "","" &amp; SUBSTITUTE($C740, "" "", """") &amp; """&amp;",""
      )
    )
  ),
0)
)"),"")</f>
        <v/>
      </c>
      <c r="K740" s="7" t="str">
        <f t="shared" si="2"/>
        <v>#N/A</v>
      </c>
    </row>
    <row r="741">
      <c r="C741" s="6" t="str">
        <f t="shared" si="1"/>
        <v/>
      </c>
      <c r="J741" s="7" t="str">
        <f>IFERROR(__xludf.DUMMYFUNCTION("IF($C741 = """", """", IFNA(
  ROWS(
    FILTER(
      Events!$G$2:$G1000,
      Events!$B$2:$B1000 &gt;= TODAY() - 90,
      REGEXMATCH(
        "","" &amp; SUBSTITUTE(Events!$G$2:$G1000, "" "", """") &amp; "","",
        "","" &amp; SUBSTITUTE($C741, "" "", """") &amp; """&amp;",""
      )
    )
  ),
0)
)"),"")</f>
        <v/>
      </c>
      <c r="K741" s="7" t="str">
        <f t="shared" si="2"/>
        <v>#N/A</v>
      </c>
    </row>
    <row r="742">
      <c r="C742" s="6" t="str">
        <f t="shared" si="1"/>
        <v/>
      </c>
      <c r="J742" s="7" t="str">
        <f>IFERROR(__xludf.DUMMYFUNCTION("IF($C742 = """", """", IFNA(
  ROWS(
    FILTER(
      Events!$G$2:$G1000,
      Events!$B$2:$B1000 &gt;= TODAY() - 90,
      REGEXMATCH(
        "","" &amp; SUBSTITUTE(Events!$G$2:$G1000, "" "", """") &amp; "","",
        "","" &amp; SUBSTITUTE($C742, "" "", """") &amp; """&amp;",""
      )
    )
  ),
0)
)"),"")</f>
        <v/>
      </c>
      <c r="K742" s="7" t="str">
        <f t="shared" si="2"/>
        <v>#N/A</v>
      </c>
    </row>
    <row r="743">
      <c r="C743" s="6" t="str">
        <f t="shared" si="1"/>
        <v/>
      </c>
      <c r="J743" s="7" t="str">
        <f>IFERROR(__xludf.DUMMYFUNCTION("IF($C743 = """", """", IFNA(
  ROWS(
    FILTER(
      Events!$G$2:$G1000,
      Events!$B$2:$B1000 &gt;= TODAY() - 90,
      REGEXMATCH(
        "","" &amp; SUBSTITUTE(Events!$G$2:$G1000, "" "", """") &amp; "","",
        "","" &amp; SUBSTITUTE($C743, "" "", """") &amp; """&amp;",""
      )
    )
  ),
0)
)"),"")</f>
        <v/>
      </c>
      <c r="K743" s="7" t="str">
        <f t="shared" si="2"/>
        <v>#N/A</v>
      </c>
    </row>
    <row r="744">
      <c r="C744" s="6" t="str">
        <f t="shared" si="1"/>
        <v/>
      </c>
      <c r="J744" s="7" t="str">
        <f>IFERROR(__xludf.DUMMYFUNCTION("IF($C744 = """", """", IFNA(
  ROWS(
    FILTER(
      Events!$G$2:$G1000,
      Events!$B$2:$B1000 &gt;= TODAY() - 90,
      REGEXMATCH(
        "","" &amp; SUBSTITUTE(Events!$G$2:$G1000, "" "", """") &amp; "","",
        "","" &amp; SUBSTITUTE($C744, "" "", """") &amp; """&amp;",""
      )
    )
  ),
0)
)"),"")</f>
        <v/>
      </c>
      <c r="K744" s="7" t="str">
        <f t="shared" si="2"/>
        <v>#N/A</v>
      </c>
    </row>
    <row r="745">
      <c r="C745" s="6" t="str">
        <f t="shared" si="1"/>
        <v/>
      </c>
      <c r="J745" s="7" t="str">
        <f>IFERROR(__xludf.DUMMYFUNCTION("IF($C745 = """", """", IFNA(
  ROWS(
    FILTER(
      Events!$G$2:$G1000,
      Events!$B$2:$B1000 &gt;= TODAY() - 90,
      REGEXMATCH(
        "","" &amp; SUBSTITUTE(Events!$G$2:$G1000, "" "", """") &amp; "","",
        "","" &amp; SUBSTITUTE($C745, "" "", """") &amp; """&amp;",""
      )
    )
  ),
0)
)"),"")</f>
        <v/>
      </c>
      <c r="K745" s="7" t="str">
        <f t="shared" si="2"/>
        <v>#N/A</v>
      </c>
    </row>
    <row r="746">
      <c r="C746" s="6" t="str">
        <f t="shared" si="1"/>
        <v/>
      </c>
      <c r="J746" s="7" t="str">
        <f>IFERROR(__xludf.DUMMYFUNCTION("IF($C746 = """", """", IFNA(
  ROWS(
    FILTER(
      Events!$G$2:$G1000,
      Events!$B$2:$B1000 &gt;= TODAY() - 90,
      REGEXMATCH(
        "","" &amp; SUBSTITUTE(Events!$G$2:$G1000, "" "", """") &amp; "","",
        "","" &amp; SUBSTITUTE($C746, "" "", """") &amp; """&amp;",""
      )
    )
  ),
0)
)"),"")</f>
        <v/>
      </c>
      <c r="K746" s="7" t="str">
        <f t="shared" si="2"/>
        <v>#N/A</v>
      </c>
    </row>
    <row r="747">
      <c r="C747" s="6" t="str">
        <f t="shared" si="1"/>
        <v/>
      </c>
      <c r="J747" s="7" t="str">
        <f>IFERROR(__xludf.DUMMYFUNCTION("IF($C747 = """", """", IFNA(
  ROWS(
    FILTER(
      Events!$G$2:$G1000,
      Events!$B$2:$B1000 &gt;= TODAY() - 90,
      REGEXMATCH(
        "","" &amp; SUBSTITUTE(Events!$G$2:$G1000, "" "", """") &amp; "","",
        "","" &amp; SUBSTITUTE($C747, "" "", """") &amp; """&amp;",""
      )
    )
  ),
0)
)"),"")</f>
        <v/>
      </c>
      <c r="K747" s="7" t="str">
        <f t="shared" si="2"/>
        <v>#N/A</v>
      </c>
    </row>
    <row r="748">
      <c r="C748" s="6" t="str">
        <f t="shared" si="1"/>
        <v/>
      </c>
      <c r="J748" s="7" t="str">
        <f>IFERROR(__xludf.DUMMYFUNCTION("IF($C748 = """", """", IFNA(
  ROWS(
    FILTER(
      Events!$G$2:$G1000,
      Events!$B$2:$B1000 &gt;= TODAY() - 90,
      REGEXMATCH(
        "","" &amp; SUBSTITUTE(Events!$G$2:$G1000, "" "", """") &amp; "","",
        "","" &amp; SUBSTITUTE($C748, "" "", """") &amp; """&amp;",""
      )
    )
  ),
0)
)"),"")</f>
        <v/>
      </c>
      <c r="K748" s="7" t="str">
        <f t="shared" si="2"/>
        <v>#N/A</v>
      </c>
    </row>
    <row r="749">
      <c r="C749" s="6" t="str">
        <f t="shared" si="1"/>
        <v/>
      </c>
      <c r="J749" s="7" t="str">
        <f>IFERROR(__xludf.DUMMYFUNCTION("IF($C749 = """", """", IFNA(
  ROWS(
    FILTER(
      Events!$G$2:$G1000,
      Events!$B$2:$B1000 &gt;= TODAY() - 90,
      REGEXMATCH(
        "","" &amp; SUBSTITUTE(Events!$G$2:$G1000, "" "", """") &amp; "","",
        "","" &amp; SUBSTITUTE($C749, "" "", """") &amp; """&amp;",""
      )
    )
  ),
0)
)"),"")</f>
        <v/>
      </c>
      <c r="K749" s="7" t="str">
        <f t="shared" si="2"/>
        <v>#N/A</v>
      </c>
    </row>
    <row r="750">
      <c r="C750" s="6" t="str">
        <f t="shared" si="1"/>
        <v/>
      </c>
      <c r="J750" s="7" t="str">
        <f>IFERROR(__xludf.DUMMYFUNCTION("IF($C750 = """", """", IFNA(
  ROWS(
    FILTER(
      Events!$G$2:$G1000,
      Events!$B$2:$B1000 &gt;= TODAY() - 90,
      REGEXMATCH(
        "","" &amp; SUBSTITUTE(Events!$G$2:$G1000, "" "", """") &amp; "","",
        "","" &amp; SUBSTITUTE($C750, "" "", """") &amp; """&amp;",""
      )
    )
  ),
0)
)"),"")</f>
        <v/>
      </c>
      <c r="K750" s="7" t="str">
        <f t="shared" si="2"/>
        <v>#N/A</v>
      </c>
    </row>
    <row r="751">
      <c r="C751" s="6" t="str">
        <f t="shared" si="1"/>
        <v/>
      </c>
      <c r="J751" s="7" t="str">
        <f>IFERROR(__xludf.DUMMYFUNCTION("IF($C751 = """", """", IFNA(
  ROWS(
    FILTER(
      Events!$G$2:$G1000,
      Events!$B$2:$B1000 &gt;= TODAY() - 90,
      REGEXMATCH(
        "","" &amp; SUBSTITUTE(Events!$G$2:$G1000, "" "", """") &amp; "","",
        "","" &amp; SUBSTITUTE($C751, "" "", """") &amp; """&amp;",""
      )
    )
  ),
0)
)"),"")</f>
        <v/>
      </c>
      <c r="K751" s="7" t="str">
        <f t="shared" si="2"/>
        <v>#N/A</v>
      </c>
    </row>
    <row r="752">
      <c r="C752" s="6" t="str">
        <f t="shared" si="1"/>
        <v/>
      </c>
      <c r="J752" s="7" t="str">
        <f>IFERROR(__xludf.DUMMYFUNCTION("IF($C752 = """", """", IFNA(
  ROWS(
    FILTER(
      Events!$G$2:$G1000,
      Events!$B$2:$B1000 &gt;= TODAY() - 90,
      REGEXMATCH(
        "","" &amp; SUBSTITUTE(Events!$G$2:$G1000, "" "", """") &amp; "","",
        "","" &amp; SUBSTITUTE($C752, "" "", """") &amp; """&amp;",""
      )
    )
  ),
0)
)"),"")</f>
        <v/>
      </c>
      <c r="K752" s="7" t="str">
        <f t="shared" si="2"/>
        <v>#N/A</v>
      </c>
    </row>
    <row r="753">
      <c r="C753" s="6" t="str">
        <f t="shared" si="1"/>
        <v/>
      </c>
      <c r="J753" s="7" t="str">
        <f>IFERROR(__xludf.DUMMYFUNCTION("IF($C753 = """", """", IFNA(
  ROWS(
    FILTER(
      Events!$G$2:$G1000,
      Events!$B$2:$B1000 &gt;= TODAY() - 90,
      REGEXMATCH(
        "","" &amp; SUBSTITUTE(Events!$G$2:$G1000, "" "", """") &amp; "","",
        "","" &amp; SUBSTITUTE($C753, "" "", """") &amp; """&amp;",""
      )
    )
  ),
0)
)"),"")</f>
        <v/>
      </c>
      <c r="K753" s="7" t="str">
        <f t="shared" si="2"/>
        <v>#N/A</v>
      </c>
    </row>
    <row r="754">
      <c r="C754" s="6" t="str">
        <f t="shared" si="1"/>
        <v/>
      </c>
      <c r="J754" s="7" t="str">
        <f>IFERROR(__xludf.DUMMYFUNCTION("IF($C754 = """", """", IFNA(
  ROWS(
    FILTER(
      Events!$G$2:$G1000,
      Events!$B$2:$B1000 &gt;= TODAY() - 90,
      REGEXMATCH(
        "","" &amp; SUBSTITUTE(Events!$G$2:$G1000, "" "", """") &amp; "","",
        "","" &amp; SUBSTITUTE($C754, "" "", """") &amp; """&amp;",""
      )
    )
  ),
0)
)"),"")</f>
        <v/>
      </c>
      <c r="K754" s="7" t="str">
        <f t="shared" si="2"/>
        <v>#N/A</v>
      </c>
    </row>
    <row r="755">
      <c r="C755" s="6" t="str">
        <f t="shared" si="1"/>
        <v/>
      </c>
      <c r="J755" s="7" t="str">
        <f>IFERROR(__xludf.DUMMYFUNCTION("IF($C755 = """", """", IFNA(
  ROWS(
    FILTER(
      Events!$G$2:$G1000,
      Events!$B$2:$B1000 &gt;= TODAY() - 90,
      REGEXMATCH(
        "","" &amp; SUBSTITUTE(Events!$G$2:$G1000, "" "", """") &amp; "","",
        "","" &amp; SUBSTITUTE($C755, "" "", """") &amp; """&amp;",""
      )
    )
  ),
0)
)"),"")</f>
        <v/>
      </c>
      <c r="K755" s="7" t="str">
        <f t="shared" si="2"/>
        <v>#N/A</v>
      </c>
    </row>
    <row r="756">
      <c r="C756" s="6" t="str">
        <f t="shared" si="1"/>
        <v/>
      </c>
      <c r="J756" s="7" t="str">
        <f>IFERROR(__xludf.DUMMYFUNCTION("IF($C756 = """", """", IFNA(
  ROWS(
    FILTER(
      Events!$G$2:$G1000,
      Events!$B$2:$B1000 &gt;= TODAY() - 90,
      REGEXMATCH(
        "","" &amp; SUBSTITUTE(Events!$G$2:$G1000, "" "", """") &amp; "","",
        "","" &amp; SUBSTITUTE($C756, "" "", """") &amp; """&amp;",""
      )
    )
  ),
0)
)"),"")</f>
        <v/>
      </c>
      <c r="K756" s="7" t="str">
        <f t="shared" si="2"/>
        <v>#N/A</v>
      </c>
    </row>
    <row r="757">
      <c r="C757" s="6" t="str">
        <f t="shared" si="1"/>
        <v/>
      </c>
      <c r="J757" s="7" t="str">
        <f>IFERROR(__xludf.DUMMYFUNCTION("IF($C757 = """", """", IFNA(
  ROWS(
    FILTER(
      Events!$G$2:$G1000,
      Events!$B$2:$B1000 &gt;= TODAY() - 90,
      REGEXMATCH(
        "","" &amp; SUBSTITUTE(Events!$G$2:$G1000, "" "", """") &amp; "","",
        "","" &amp; SUBSTITUTE($C757, "" "", """") &amp; """&amp;",""
      )
    )
  ),
0)
)"),"")</f>
        <v/>
      </c>
      <c r="K757" s="7" t="str">
        <f t="shared" si="2"/>
        <v>#N/A</v>
      </c>
    </row>
    <row r="758">
      <c r="C758" s="6" t="str">
        <f t="shared" si="1"/>
        <v/>
      </c>
      <c r="J758" s="7" t="str">
        <f>IFERROR(__xludf.DUMMYFUNCTION("IF($C758 = """", """", IFNA(
  ROWS(
    FILTER(
      Events!$G$2:$G1000,
      Events!$B$2:$B1000 &gt;= TODAY() - 90,
      REGEXMATCH(
        "","" &amp; SUBSTITUTE(Events!$G$2:$G1000, "" "", """") &amp; "","",
        "","" &amp; SUBSTITUTE($C758, "" "", """") &amp; """&amp;",""
      )
    )
  ),
0)
)"),"")</f>
        <v/>
      </c>
      <c r="K758" s="7" t="str">
        <f t="shared" si="2"/>
        <v>#N/A</v>
      </c>
    </row>
    <row r="759">
      <c r="C759" s="6" t="str">
        <f t="shared" si="1"/>
        <v/>
      </c>
      <c r="J759" s="7" t="str">
        <f>IFERROR(__xludf.DUMMYFUNCTION("IF($C759 = """", """", IFNA(
  ROWS(
    FILTER(
      Events!$G$2:$G1000,
      Events!$B$2:$B1000 &gt;= TODAY() - 90,
      REGEXMATCH(
        "","" &amp; SUBSTITUTE(Events!$G$2:$G1000, "" "", """") &amp; "","",
        "","" &amp; SUBSTITUTE($C759, "" "", """") &amp; """&amp;",""
      )
    )
  ),
0)
)"),"")</f>
        <v/>
      </c>
      <c r="K759" s="7" t="str">
        <f t="shared" si="2"/>
        <v>#N/A</v>
      </c>
    </row>
    <row r="760">
      <c r="C760" s="6" t="str">
        <f t="shared" si="1"/>
        <v/>
      </c>
      <c r="J760" s="7" t="str">
        <f>IFERROR(__xludf.DUMMYFUNCTION("IF($C760 = """", """", IFNA(
  ROWS(
    FILTER(
      Events!$G$2:$G1000,
      Events!$B$2:$B1000 &gt;= TODAY() - 90,
      REGEXMATCH(
        "","" &amp; SUBSTITUTE(Events!$G$2:$G1000, "" "", """") &amp; "","",
        "","" &amp; SUBSTITUTE($C760, "" "", """") &amp; """&amp;",""
      )
    )
  ),
0)
)"),"")</f>
        <v/>
      </c>
      <c r="K760" s="7" t="str">
        <f t="shared" si="2"/>
        <v>#N/A</v>
      </c>
    </row>
    <row r="761">
      <c r="C761" s="6" t="str">
        <f t="shared" si="1"/>
        <v/>
      </c>
      <c r="J761" s="7" t="str">
        <f>IFERROR(__xludf.DUMMYFUNCTION("IF($C761 = """", """", IFNA(
  ROWS(
    FILTER(
      Events!$G$2:$G1000,
      Events!$B$2:$B1000 &gt;= TODAY() - 90,
      REGEXMATCH(
        "","" &amp; SUBSTITUTE(Events!$G$2:$G1000, "" "", """") &amp; "","",
        "","" &amp; SUBSTITUTE($C761, "" "", """") &amp; """&amp;",""
      )
    )
  ),
0)
)"),"")</f>
        <v/>
      </c>
      <c r="K761" s="7" t="str">
        <f t="shared" si="2"/>
        <v>#N/A</v>
      </c>
    </row>
    <row r="762">
      <c r="C762" s="6" t="str">
        <f t="shared" si="1"/>
        <v/>
      </c>
      <c r="J762" s="7" t="str">
        <f>IFERROR(__xludf.DUMMYFUNCTION("IF($C762 = """", """", IFNA(
  ROWS(
    FILTER(
      Events!$G$2:$G1000,
      Events!$B$2:$B1000 &gt;= TODAY() - 90,
      REGEXMATCH(
        "","" &amp; SUBSTITUTE(Events!$G$2:$G1000, "" "", """") &amp; "","",
        "","" &amp; SUBSTITUTE($C762, "" "", """") &amp; """&amp;",""
      )
    )
  ),
0)
)"),"")</f>
        <v/>
      </c>
      <c r="K762" s="7" t="str">
        <f t="shared" si="2"/>
        <v>#N/A</v>
      </c>
    </row>
    <row r="763">
      <c r="C763" s="6" t="str">
        <f t="shared" si="1"/>
        <v/>
      </c>
      <c r="J763" s="7" t="str">
        <f>IFERROR(__xludf.DUMMYFUNCTION("IF($C763 = """", """", IFNA(
  ROWS(
    FILTER(
      Events!$G$2:$G1000,
      Events!$B$2:$B1000 &gt;= TODAY() - 90,
      REGEXMATCH(
        "","" &amp; SUBSTITUTE(Events!$G$2:$G1000, "" "", """") &amp; "","",
        "","" &amp; SUBSTITUTE($C763, "" "", """") &amp; """&amp;",""
      )
    )
  ),
0)
)"),"")</f>
        <v/>
      </c>
      <c r="K763" s="7" t="str">
        <f t="shared" si="2"/>
        <v>#N/A</v>
      </c>
    </row>
    <row r="764">
      <c r="C764" s="6" t="str">
        <f t="shared" si="1"/>
        <v/>
      </c>
      <c r="J764" s="7" t="str">
        <f>IFERROR(__xludf.DUMMYFUNCTION("IF($C764 = """", """", IFNA(
  ROWS(
    FILTER(
      Events!$G$2:$G1000,
      Events!$B$2:$B1000 &gt;= TODAY() - 90,
      REGEXMATCH(
        "","" &amp; SUBSTITUTE(Events!$G$2:$G1000, "" "", """") &amp; "","",
        "","" &amp; SUBSTITUTE($C764, "" "", """") &amp; """&amp;",""
      )
    )
  ),
0)
)"),"")</f>
        <v/>
      </c>
      <c r="K764" s="7" t="str">
        <f t="shared" si="2"/>
        <v>#N/A</v>
      </c>
    </row>
    <row r="765">
      <c r="C765" s="6" t="str">
        <f t="shared" si="1"/>
        <v/>
      </c>
      <c r="J765" s="7" t="str">
        <f>IFERROR(__xludf.DUMMYFUNCTION("IF($C765 = """", """", IFNA(
  ROWS(
    FILTER(
      Events!$G$2:$G1000,
      Events!$B$2:$B1000 &gt;= TODAY() - 90,
      REGEXMATCH(
        "","" &amp; SUBSTITUTE(Events!$G$2:$G1000, "" "", """") &amp; "","",
        "","" &amp; SUBSTITUTE($C765, "" "", """") &amp; """&amp;",""
      )
    )
  ),
0)
)"),"")</f>
        <v/>
      </c>
      <c r="K765" s="7" t="str">
        <f t="shared" si="2"/>
        <v>#N/A</v>
      </c>
    </row>
    <row r="766">
      <c r="C766" s="6" t="str">
        <f t="shared" si="1"/>
        <v/>
      </c>
      <c r="J766" s="7" t="str">
        <f>IFERROR(__xludf.DUMMYFUNCTION("IF($C766 = """", """", IFNA(
  ROWS(
    FILTER(
      Events!$G$2:$G1000,
      Events!$B$2:$B1000 &gt;= TODAY() - 90,
      REGEXMATCH(
        "","" &amp; SUBSTITUTE(Events!$G$2:$G1000, "" "", """") &amp; "","",
        "","" &amp; SUBSTITUTE($C766, "" "", """") &amp; """&amp;",""
      )
    )
  ),
0)
)"),"")</f>
        <v/>
      </c>
      <c r="K766" s="7" t="str">
        <f t="shared" si="2"/>
        <v>#N/A</v>
      </c>
    </row>
    <row r="767">
      <c r="C767" s="6" t="str">
        <f t="shared" si="1"/>
        <v/>
      </c>
      <c r="J767" s="7" t="str">
        <f>IFERROR(__xludf.DUMMYFUNCTION("IF($C767 = """", """", IFNA(
  ROWS(
    FILTER(
      Events!$G$2:$G1000,
      Events!$B$2:$B1000 &gt;= TODAY() - 90,
      REGEXMATCH(
        "","" &amp; SUBSTITUTE(Events!$G$2:$G1000, "" "", """") &amp; "","",
        "","" &amp; SUBSTITUTE($C767, "" "", """") &amp; """&amp;",""
      )
    )
  ),
0)
)"),"")</f>
        <v/>
      </c>
      <c r="K767" s="7" t="str">
        <f t="shared" si="2"/>
        <v>#N/A</v>
      </c>
    </row>
    <row r="768">
      <c r="C768" s="6" t="str">
        <f t="shared" si="1"/>
        <v/>
      </c>
      <c r="J768" s="7" t="str">
        <f>IFERROR(__xludf.DUMMYFUNCTION("IF($C768 = """", """", IFNA(
  ROWS(
    FILTER(
      Events!$G$2:$G1000,
      Events!$B$2:$B1000 &gt;= TODAY() - 90,
      REGEXMATCH(
        "","" &amp; SUBSTITUTE(Events!$G$2:$G1000, "" "", """") &amp; "","",
        "","" &amp; SUBSTITUTE($C768, "" "", """") &amp; """&amp;",""
      )
    )
  ),
0)
)"),"")</f>
        <v/>
      </c>
      <c r="K768" s="7" t="str">
        <f t="shared" si="2"/>
        <v>#N/A</v>
      </c>
    </row>
    <row r="769">
      <c r="C769" s="6" t="str">
        <f t="shared" si="1"/>
        <v/>
      </c>
      <c r="J769" s="7" t="str">
        <f>IFERROR(__xludf.DUMMYFUNCTION("IF($C769 = """", """", IFNA(
  ROWS(
    FILTER(
      Events!$G$2:$G1000,
      Events!$B$2:$B1000 &gt;= TODAY() - 90,
      REGEXMATCH(
        "","" &amp; SUBSTITUTE(Events!$G$2:$G1000, "" "", """") &amp; "","",
        "","" &amp; SUBSTITUTE($C769, "" "", """") &amp; """&amp;",""
      )
    )
  ),
0)
)"),"")</f>
        <v/>
      </c>
      <c r="K769" s="7" t="str">
        <f t="shared" si="2"/>
        <v>#N/A</v>
      </c>
    </row>
    <row r="770">
      <c r="C770" s="6" t="str">
        <f t="shared" si="1"/>
        <v/>
      </c>
      <c r="J770" s="7" t="str">
        <f>IFERROR(__xludf.DUMMYFUNCTION("IF($C770 = """", """", IFNA(
  ROWS(
    FILTER(
      Events!$G$2:$G1000,
      Events!$B$2:$B1000 &gt;= TODAY() - 90,
      REGEXMATCH(
        "","" &amp; SUBSTITUTE(Events!$G$2:$G1000, "" "", """") &amp; "","",
        "","" &amp; SUBSTITUTE($C770, "" "", """") &amp; """&amp;",""
      )
    )
  ),
0)
)"),"")</f>
        <v/>
      </c>
      <c r="K770" s="7" t="str">
        <f t="shared" si="2"/>
        <v>#N/A</v>
      </c>
    </row>
    <row r="771">
      <c r="C771" s="6" t="str">
        <f t="shared" si="1"/>
        <v/>
      </c>
      <c r="J771" s="7" t="str">
        <f>IFERROR(__xludf.DUMMYFUNCTION("IF($C771 = """", """", IFNA(
  ROWS(
    FILTER(
      Events!$G$2:$G1000,
      Events!$B$2:$B1000 &gt;= TODAY() - 90,
      REGEXMATCH(
        "","" &amp; SUBSTITUTE(Events!$G$2:$G1000, "" "", """") &amp; "","",
        "","" &amp; SUBSTITUTE($C771, "" "", """") &amp; """&amp;",""
      )
    )
  ),
0)
)"),"")</f>
        <v/>
      </c>
      <c r="K771" s="7" t="str">
        <f t="shared" si="2"/>
        <v>#N/A</v>
      </c>
    </row>
    <row r="772">
      <c r="C772" s="6" t="str">
        <f t="shared" si="1"/>
        <v/>
      </c>
      <c r="J772" s="7" t="str">
        <f>IFERROR(__xludf.DUMMYFUNCTION("IF($C772 = """", """", IFNA(
  ROWS(
    FILTER(
      Events!$G$2:$G1000,
      Events!$B$2:$B1000 &gt;= TODAY() - 90,
      REGEXMATCH(
        "","" &amp; SUBSTITUTE(Events!$G$2:$G1000, "" "", """") &amp; "","",
        "","" &amp; SUBSTITUTE($C772, "" "", """") &amp; """&amp;",""
      )
    )
  ),
0)
)"),"")</f>
        <v/>
      </c>
      <c r="K772" s="7" t="str">
        <f t="shared" si="2"/>
        <v>#N/A</v>
      </c>
    </row>
    <row r="773">
      <c r="C773" s="6" t="str">
        <f t="shared" si="1"/>
        <v/>
      </c>
      <c r="J773" s="7" t="str">
        <f>IFERROR(__xludf.DUMMYFUNCTION("IF($C773 = """", """", IFNA(
  ROWS(
    FILTER(
      Events!$G$2:$G1000,
      Events!$B$2:$B1000 &gt;= TODAY() - 90,
      REGEXMATCH(
        "","" &amp; SUBSTITUTE(Events!$G$2:$G1000, "" "", """") &amp; "","",
        "","" &amp; SUBSTITUTE($C773, "" "", """") &amp; """&amp;",""
      )
    )
  ),
0)
)"),"")</f>
        <v/>
      </c>
      <c r="K773" s="7" t="str">
        <f t="shared" si="2"/>
        <v>#N/A</v>
      </c>
    </row>
    <row r="774">
      <c r="C774" s="6" t="str">
        <f t="shared" si="1"/>
        <v/>
      </c>
      <c r="J774" s="7" t="str">
        <f>IFERROR(__xludf.DUMMYFUNCTION("IF($C774 = """", """", IFNA(
  ROWS(
    FILTER(
      Events!$G$2:$G1000,
      Events!$B$2:$B1000 &gt;= TODAY() - 90,
      REGEXMATCH(
        "","" &amp; SUBSTITUTE(Events!$G$2:$G1000, "" "", """") &amp; "","",
        "","" &amp; SUBSTITUTE($C774, "" "", """") &amp; """&amp;",""
      )
    )
  ),
0)
)"),"")</f>
        <v/>
      </c>
      <c r="K774" s="7" t="str">
        <f t="shared" si="2"/>
        <v>#N/A</v>
      </c>
    </row>
    <row r="775">
      <c r="C775" s="6" t="str">
        <f t="shared" si="1"/>
        <v/>
      </c>
      <c r="J775" s="7" t="str">
        <f>IFERROR(__xludf.DUMMYFUNCTION("IF($C775 = """", """", IFNA(
  ROWS(
    FILTER(
      Events!$G$2:$G1000,
      Events!$B$2:$B1000 &gt;= TODAY() - 90,
      REGEXMATCH(
        "","" &amp; SUBSTITUTE(Events!$G$2:$G1000, "" "", """") &amp; "","",
        "","" &amp; SUBSTITUTE($C775, "" "", """") &amp; """&amp;",""
      )
    )
  ),
0)
)"),"")</f>
        <v/>
      </c>
      <c r="K775" s="7" t="str">
        <f t="shared" si="2"/>
        <v>#N/A</v>
      </c>
    </row>
    <row r="776">
      <c r="C776" s="6" t="str">
        <f t="shared" si="1"/>
        <v/>
      </c>
      <c r="J776" s="7" t="str">
        <f>IFERROR(__xludf.DUMMYFUNCTION("IF($C776 = """", """", IFNA(
  ROWS(
    FILTER(
      Events!$G$2:$G1000,
      Events!$B$2:$B1000 &gt;= TODAY() - 90,
      REGEXMATCH(
        "","" &amp; SUBSTITUTE(Events!$G$2:$G1000, "" "", """") &amp; "","",
        "","" &amp; SUBSTITUTE($C776, "" "", """") &amp; """&amp;",""
      )
    )
  ),
0)
)"),"")</f>
        <v/>
      </c>
      <c r="K776" s="7" t="str">
        <f t="shared" si="2"/>
        <v>#N/A</v>
      </c>
    </row>
    <row r="777">
      <c r="C777" s="6" t="str">
        <f t="shared" si="1"/>
        <v/>
      </c>
      <c r="J777" s="7" t="str">
        <f>IFERROR(__xludf.DUMMYFUNCTION("IF($C777 = """", """", IFNA(
  ROWS(
    FILTER(
      Events!$G$2:$G1000,
      Events!$B$2:$B1000 &gt;= TODAY() - 90,
      REGEXMATCH(
        "","" &amp; SUBSTITUTE(Events!$G$2:$G1000, "" "", """") &amp; "","",
        "","" &amp; SUBSTITUTE($C777, "" "", """") &amp; """&amp;",""
      )
    )
  ),
0)
)"),"")</f>
        <v/>
      </c>
      <c r="K777" s="7" t="str">
        <f t="shared" si="2"/>
        <v>#N/A</v>
      </c>
    </row>
    <row r="778">
      <c r="C778" s="6" t="str">
        <f t="shared" si="1"/>
        <v/>
      </c>
      <c r="J778" s="7" t="str">
        <f>IFERROR(__xludf.DUMMYFUNCTION("IF($C778 = """", """", IFNA(
  ROWS(
    FILTER(
      Events!$G$2:$G1000,
      Events!$B$2:$B1000 &gt;= TODAY() - 90,
      REGEXMATCH(
        "","" &amp; SUBSTITUTE(Events!$G$2:$G1000, "" "", """") &amp; "","",
        "","" &amp; SUBSTITUTE($C778, "" "", """") &amp; """&amp;",""
      )
    )
  ),
0)
)"),"")</f>
        <v/>
      </c>
      <c r="K778" s="7" t="str">
        <f t="shared" si="2"/>
        <v>#N/A</v>
      </c>
    </row>
    <row r="779">
      <c r="C779" s="6" t="str">
        <f t="shared" si="1"/>
        <v/>
      </c>
      <c r="J779" s="7" t="str">
        <f>IFERROR(__xludf.DUMMYFUNCTION("IF($C779 = """", """", IFNA(
  ROWS(
    FILTER(
      Events!$G$2:$G1000,
      Events!$B$2:$B1000 &gt;= TODAY() - 90,
      REGEXMATCH(
        "","" &amp; SUBSTITUTE(Events!$G$2:$G1000, "" "", """") &amp; "","",
        "","" &amp; SUBSTITUTE($C779, "" "", """") &amp; """&amp;",""
      )
    )
  ),
0)
)"),"")</f>
        <v/>
      </c>
      <c r="K779" s="7" t="str">
        <f t="shared" si="2"/>
        <v>#N/A</v>
      </c>
    </row>
    <row r="780">
      <c r="C780" s="6" t="str">
        <f t="shared" si="1"/>
        <v/>
      </c>
      <c r="J780" s="7" t="str">
        <f>IFERROR(__xludf.DUMMYFUNCTION("IF($C780 = """", """", IFNA(
  ROWS(
    FILTER(
      Events!$G$2:$G1000,
      Events!$B$2:$B1000 &gt;= TODAY() - 90,
      REGEXMATCH(
        "","" &amp; SUBSTITUTE(Events!$G$2:$G1000, "" "", """") &amp; "","",
        "","" &amp; SUBSTITUTE($C780, "" "", """") &amp; """&amp;",""
      )
    )
  ),
0)
)"),"")</f>
        <v/>
      </c>
      <c r="K780" s="7" t="str">
        <f t="shared" si="2"/>
        <v>#N/A</v>
      </c>
    </row>
    <row r="781">
      <c r="C781" s="6" t="str">
        <f t="shared" si="1"/>
        <v/>
      </c>
      <c r="J781" s="7" t="str">
        <f>IFERROR(__xludf.DUMMYFUNCTION("IF($C781 = """", """", IFNA(
  ROWS(
    FILTER(
      Events!$G$2:$G1000,
      Events!$B$2:$B1000 &gt;= TODAY() - 90,
      REGEXMATCH(
        "","" &amp; SUBSTITUTE(Events!$G$2:$G1000, "" "", """") &amp; "","",
        "","" &amp; SUBSTITUTE($C781, "" "", """") &amp; """&amp;",""
      )
    )
  ),
0)
)"),"")</f>
        <v/>
      </c>
      <c r="K781" s="7" t="str">
        <f t="shared" si="2"/>
        <v>#N/A</v>
      </c>
    </row>
    <row r="782">
      <c r="C782" s="6" t="str">
        <f t="shared" si="1"/>
        <v/>
      </c>
      <c r="J782" s="7" t="str">
        <f>IFERROR(__xludf.DUMMYFUNCTION("IF($C782 = """", """", IFNA(
  ROWS(
    FILTER(
      Events!$G$2:$G1000,
      Events!$B$2:$B1000 &gt;= TODAY() - 90,
      REGEXMATCH(
        "","" &amp; SUBSTITUTE(Events!$G$2:$G1000, "" "", """") &amp; "","",
        "","" &amp; SUBSTITUTE($C782, "" "", """") &amp; """&amp;",""
      )
    )
  ),
0)
)"),"")</f>
        <v/>
      </c>
      <c r="K782" s="7" t="str">
        <f t="shared" si="2"/>
        <v>#N/A</v>
      </c>
    </row>
    <row r="783">
      <c r="C783" s="6" t="str">
        <f t="shared" si="1"/>
        <v/>
      </c>
      <c r="J783" s="7" t="str">
        <f>IFERROR(__xludf.DUMMYFUNCTION("IF($C783 = """", """", IFNA(
  ROWS(
    FILTER(
      Events!$G$2:$G1000,
      Events!$B$2:$B1000 &gt;= TODAY() - 90,
      REGEXMATCH(
        "","" &amp; SUBSTITUTE(Events!$G$2:$G1000, "" "", """") &amp; "","",
        "","" &amp; SUBSTITUTE($C783, "" "", """") &amp; """&amp;",""
      )
    )
  ),
0)
)"),"")</f>
        <v/>
      </c>
      <c r="K783" s="7" t="str">
        <f t="shared" si="2"/>
        <v>#N/A</v>
      </c>
    </row>
    <row r="784">
      <c r="C784" s="6" t="str">
        <f t="shared" si="1"/>
        <v/>
      </c>
      <c r="J784" s="7" t="str">
        <f>IFERROR(__xludf.DUMMYFUNCTION("IF($C784 = """", """", IFNA(
  ROWS(
    FILTER(
      Events!$G$2:$G1000,
      Events!$B$2:$B1000 &gt;= TODAY() - 90,
      REGEXMATCH(
        "","" &amp; SUBSTITUTE(Events!$G$2:$G1000, "" "", """") &amp; "","",
        "","" &amp; SUBSTITUTE($C784, "" "", """") &amp; """&amp;",""
      )
    )
  ),
0)
)"),"")</f>
        <v/>
      </c>
      <c r="K784" s="7" t="str">
        <f t="shared" si="2"/>
        <v>#N/A</v>
      </c>
    </row>
    <row r="785">
      <c r="C785" s="6" t="str">
        <f t="shared" si="1"/>
        <v/>
      </c>
      <c r="J785" s="7" t="str">
        <f>IFERROR(__xludf.DUMMYFUNCTION("IF($C785 = """", """", IFNA(
  ROWS(
    FILTER(
      Events!$G$2:$G1000,
      Events!$B$2:$B1000 &gt;= TODAY() - 90,
      REGEXMATCH(
        "","" &amp; SUBSTITUTE(Events!$G$2:$G1000, "" "", """") &amp; "","",
        "","" &amp; SUBSTITUTE($C785, "" "", """") &amp; """&amp;",""
      )
    )
  ),
0)
)"),"")</f>
        <v/>
      </c>
      <c r="K785" s="7" t="str">
        <f t="shared" si="2"/>
        <v>#N/A</v>
      </c>
    </row>
    <row r="786">
      <c r="C786" s="6" t="str">
        <f t="shared" si="1"/>
        <v/>
      </c>
      <c r="J786" s="7" t="str">
        <f>IFERROR(__xludf.DUMMYFUNCTION("IF($C786 = """", """", IFNA(
  ROWS(
    FILTER(
      Events!$G$2:$G1000,
      Events!$B$2:$B1000 &gt;= TODAY() - 90,
      REGEXMATCH(
        "","" &amp; SUBSTITUTE(Events!$G$2:$G1000, "" "", """") &amp; "","",
        "","" &amp; SUBSTITUTE($C786, "" "", """") &amp; """&amp;",""
      )
    )
  ),
0)
)"),"")</f>
        <v/>
      </c>
      <c r="K786" s="7" t="str">
        <f t="shared" si="2"/>
        <v>#N/A</v>
      </c>
    </row>
    <row r="787">
      <c r="C787" s="6" t="str">
        <f t="shared" si="1"/>
        <v/>
      </c>
      <c r="J787" s="7" t="str">
        <f>IFERROR(__xludf.DUMMYFUNCTION("IF($C787 = """", """", IFNA(
  ROWS(
    FILTER(
      Events!$G$2:$G1000,
      Events!$B$2:$B1000 &gt;= TODAY() - 90,
      REGEXMATCH(
        "","" &amp; SUBSTITUTE(Events!$G$2:$G1000, "" "", """") &amp; "","",
        "","" &amp; SUBSTITUTE($C787, "" "", """") &amp; """&amp;",""
      )
    )
  ),
0)
)"),"")</f>
        <v/>
      </c>
      <c r="K787" s="7" t="str">
        <f t="shared" si="2"/>
        <v>#N/A</v>
      </c>
    </row>
    <row r="788">
      <c r="C788" s="6" t="str">
        <f t="shared" si="1"/>
        <v/>
      </c>
      <c r="J788" s="7" t="str">
        <f>IFERROR(__xludf.DUMMYFUNCTION("IF($C788 = """", """", IFNA(
  ROWS(
    FILTER(
      Events!$G$2:$G1000,
      Events!$B$2:$B1000 &gt;= TODAY() - 90,
      REGEXMATCH(
        "","" &amp; SUBSTITUTE(Events!$G$2:$G1000, "" "", """") &amp; "","",
        "","" &amp; SUBSTITUTE($C788, "" "", """") &amp; """&amp;",""
      )
    )
  ),
0)
)"),"")</f>
        <v/>
      </c>
      <c r="K788" s="7" t="str">
        <f t="shared" si="2"/>
        <v>#N/A</v>
      </c>
    </row>
    <row r="789">
      <c r="C789" s="6" t="str">
        <f t="shared" si="1"/>
        <v/>
      </c>
      <c r="J789" s="7" t="str">
        <f>IFERROR(__xludf.DUMMYFUNCTION("IF($C789 = """", """", IFNA(
  ROWS(
    FILTER(
      Events!$G$2:$G1000,
      Events!$B$2:$B1000 &gt;= TODAY() - 90,
      REGEXMATCH(
        "","" &amp; SUBSTITUTE(Events!$G$2:$G1000, "" "", """") &amp; "","",
        "","" &amp; SUBSTITUTE($C789, "" "", """") &amp; """&amp;",""
      )
    )
  ),
0)
)"),"")</f>
        <v/>
      </c>
      <c r="K789" s="7" t="str">
        <f t="shared" si="2"/>
        <v>#N/A</v>
      </c>
    </row>
    <row r="790">
      <c r="C790" s="6" t="str">
        <f t="shared" si="1"/>
        <v/>
      </c>
      <c r="J790" s="7" t="str">
        <f>IFERROR(__xludf.DUMMYFUNCTION("IF($C790 = """", """", IFNA(
  ROWS(
    FILTER(
      Events!$G$2:$G1000,
      Events!$B$2:$B1000 &gt;= TODAY() - 90,
      REGEXMATCH(
        "","" &amp; SUBSTITUTE(Events!$G$2:$G1000, "" "", """") &amp; "","",
        "","" &amp; SUBSTITUTE($C790, "" "", """") &amp; """&amp;",""
      )
    )
  ),
0)
)"),"")</f>
        <v/>
      </c>
      <c r="K790" s="7" t="str">
        <f t="shared" si="2"/>
        <v>#N/A</v>
      </c>
    </row>
    <row r="791">
      <c r="C791" s="6" t="str">
        <f t="shared" si="1"/>
        <v/>
      </c>
      <c r="J791" s="7" t="str">
        <f>IFERROR(__xludf.DUMMYFUNCTION("IF($C791 = """", """", IFNA(
  ROWS(
    FILTER(
      Events!$G$2:$G1000,
      Events!$B$2:$B1000 &gt;= TODAY() - 90,
      REGEXMATCH(
        "","" &amp; SUBSTITUTE(Events!$G$2:$G1000, "" "", """") &amp; "","",
        "","" &amp; SUBSTITUTE($C791, "" "", """") &amp; """&amp;",""
      )
    )
  ),
0)
)"),"")</f>
        <v/>
      </c>
      <c r="K791" s="7" t="str">
        <f t="shared" si="2"/>
        <v>#N/A</v>
      </c>
    </row>
    <row r="792">
      <c r="C792" s="6" t="str">
        <f t="shared" si="1"/>
        <v/>
      </c>
      <c r="J792" s="7" t="str">
        <f>IFERROR(__xludf.DUMMYFUNCTION("IF($C792 = """", """", IFNA(
  ROWS(
    FILTER(
      Events!$G$2:$G1000,
      Events!$B$2:$B1000 &gt;= TODAY() - 90,
      REGEXMATCH(
        "","" &amp; SUBSTITUTE(Events!$G$2:$G1000, "" "", """") &amp; "","",
        "","" &amp; SUBSTITUTE($C792, "" "", """") &amp; """&amp;",""
      )
    )
  ),
0)
)"),"")</f>
        <v/>
      </c>
      <c r="K792" s="7" t="str">
        <f t="shared" si="2"/>
        <v>#N/A</v>
      </c>
    </row>
    <row r="793">
      <c r="C793" s="6" t="str">
        <f t="shared" si="1"/>
        <v/>
      </c>
      <c r="J793" s="7" t="str">
        <f>IFERROR(__xludf.DUMMYFUNCTION("IF($C793 = """", """", IFNA(
  ROWS(
    FILTER(
      Events!$G$2:$G1000,
      Events!$B$2:$B1000 &gt;= TODAY() - 90,
      REGEXMATCH(
        "","" &amp; SUBSTITUTE(Events!$G$2:$G1000, "" "", """") &amp; "","",
        "","" &amp; SUBSTITUTE($C793, "" "", """") &amp; """&amp;",""
      )
    )
  ),
0)
)"),"")</f>
        <v/>
      </c>
      <c r="K793" s="7" t="str">
        <f t="shared" si="2"/>
        <v>#N/A</v>
      </c>
    </row>
    <row r="794">
      <c r="C794" s="6" t="str">
        <f t="shared" si="1"/>
        <v/>
      </c>
      <c r="J794" s="7" t="str">
        <f>IFERROR(__xludf.DUMMYFUNCTION("IF($C794 = """", """", IFNA(
  ROWS(
    FILTER(
      Events!$G$2:$G1000,
      Events!$B$2:$B1000 &gt;= TODAY() - 90,
      REGEXMATCH(
        "","" &amp; SUBSTITUTE(Events!$G$2:$G1000, "" "", """") &amp; "","",
        "","" &amp; SUBSTITUTE($C794, "" "", """") &amp; """&amp;",""
      )
    )
  ),
0)
)"),"")</f>
        <v/>
      </c>
      <c r="K794" s="7" t="str">
        <f t="shared" si="2"/>
        <v>#N/A</v>
      </c>
    </row>
    <row r="795">
      <c r="C795" s="6" t="str">
        <f t="shared" si="1"/>
        <v/>
      </c>
      <c r="J795" s="7" t="str">
        <f>IFERROR(__xludf.DUMMYFUNCTION("IF($C795 = """", """", IFNA(
  ROWS(
    FILTER(
      Events!$G$2:$G1000,
      Events!$B$2:$B1000 &gt;= TODAY() - 90,
      REGEXMATCH(
        "","" &amp; SUBSTITUTE(Events!$G$2:$G1000, "" "", """") &amp; "","",
        "","" &amp; SUBSTITUTE($C795, "" "", """") &amp; """&amp;",""
      )
    )
  ),
0)
)"),"")</f>
        <v/>
      </c>
      <c r="K795" s="7" t="str">
        <f t="shared" si="2"/>
        <v>#N/A</v>
      </c>
    </row>
    <row r="796">
      <c r="C796" s="6" t="str">
        <f t="shared" si="1"/>
        <v/>
      </c>
      <c r="J796" s="7" t="str">
        <f>IFERROR(__xludf.DUMMYFUNCTION("IF($C796 = """", """", IFNA(
  ROWS(
    FILTER(
      Events!$G$2:$G1000,
      Events!$B$2:$B1000 &gt;= TODAY() - 90,
      REGEXMATCH(
        "","" &amp; SUBSTITUTE(Events!$G$2:$G1000, "" "", """") &amp; "","",
        "","" &amp; SUBSTITUTE($C796, "" "", """") &amp; """&amp;",""
      )
    )
  ),
0)
)"),"")</f>
        <v/>
      </c>
      <c r="K796" s="7" t="str">
        <f t="shared" si="2"/>
        <v>#N/A</v>
      </c>
    </row>
    <row r="797">
      <c r="C797" s="6" t="str">
        <f t="shared" si="1"/>
        <v/>
      </c>
      <c r="J797" s="7" t="str">
        <f>IFERROR(__xludf.DUMMYFUNCTION("IF($C797 = """", """", IFNA(
  ROWS(
    FILTER(
      Events!$G$2:$G1000,
      Events!$B$2:$B1000 &gt;= TODAY() - 90,
      REGEXMATCH(
        "","" &amp; SUBSTITUTE(Events!$G$2:$G1000, "" "", """") &amp; "","",
        "","" &amp; SUBSTITUTE($C797, "" "", """") &amp; """&amp;",""
      )
    )
  ),
0)
)"),"")</f>
        <v/>
      </c>
      <c r="K797" s="7" t="str">
        <f t="shared" si="2"/>
        <v>#N/A</v>
      </c>
    </row>
    <row r="798">
      <c r="C798" s="6" t="str">
        <f t="shared" si="1"/>
        <v/>
      </c>
      <c r="J798" s="7" t="str">
        <f>IFERROR(__xludf.DUMMYFUNCTION("IF($C798 = """", """", IFNA(
  ROWS(
    FILTER(
      Events!$G$2:$G1000,
      Events!$B$2:$B1000 &gt;= TODAY() - 90,
      REGEXMATCH(
        "","" &amp; SUBSTITUTE(Events!$G$2:$G1000, "" "", """") &amp; "","",
        "","" &amp; SUBSTITUTE($C798, "" "", """") &amp; """&amp;",""
      )
    )
  ),
0)
)"),"")</f>
        <v/>
      </c>
      <c r="K798" s="7" t="str">
        <f t="shared" si="2"/>
        <v>#N/A</v>
      </c>
    </row>
    <row r="799">
      <c r="C799" s="6" t="str">
        <f t="shared" si="1"/>
        <v/>
      </c>
      <c r="J799" s="7" t="str">
        <f>IFERROR(__xludf.DUMMYFUNCTION("IF($C799 = """", """", IFNA(
  ROWS(
    FILTER(
      Events!$G$2:$G1000,
      Events!$B$2:$B1000 &gt;= TODAY() - 90,
      REGEXMATCH(
        "","" &amp; SUBSTITUTE(Events!$G$2:$G1000, "" "", """") &amp; "","",
        "","" &amp; SUBSTITUTE($C799, "" "", """") &amp; """&amp;",""
      )
    )
  ),
0)
)"),"")</f>
        <v/>
      </c>
      <c r="K799" s="7" t="str">
        <f t="shared" si="2"/>
        <v>#N/A</v>
      </c>
    </row>
    <row r="800">
      <c r="C800" s="6" t="str">
        <f t="shared" si="1"/>
        <v/>
      </c>
      <c r="J800" s="7" t="str">
        <f>IFERROR(__xludf.DUMMYFUNCTION("IF($C800 = """", """", IFNA(
  ROWS(
    FILTER(
      Events!$G$2:$G1000,
      Events!$B$2:$B1000 &gt;= TODAY() - 90,
      REGEXMATCH(
        "","" &amp; SUBSTITUTE(Events!$G$2:$G1000, "" "", """") &amp; "","",
        "","" &amp; SUBSTITUTE($C800, "" "", """") &amp; """&amp;",""
      )
    )
  ),
0)
)"),"")</f>
        <v/>
      </c>
      <c r="K800" s="7" t="str">
        <f t="shared" si="2"/>
        <v>#N/A</v>
      </c>
    </row>
    <row r="801">
      <c r="C801" s="6" t="str">
        <f t="shared" si="1"/>
        <v/>
      </c>
      <c r="J801" s="7" t="str">
        <f>IFERROR(__xludf.DUMMYFUNCTION("IF($C801 = """", """", IFNA(
  ROWS(
    FILTER(
      Events!$G$2:$G1000,
      Events!$B$2:$B1000 &gt;= TODAY() - 90,
      REGEXMATCH(
        "","" &amp; SUBSTITUTE(Events!$G$2:$G1000, "" "", """") &amp; "","",
        "","" &amp; SUBSTITUTE($C801, "" "", """") &amp; """&amp;",""
      )
    )
  ),
0)
)"),"")</f>
        <v/>
      </c>
      <c r="K801" s="7" t="str">
        <f t="shared" si="2"/>
        <v>#N/A</v>
      </c>
    </row>
    <row r="802">
      <c r="C802" s="6" t="str">
        <f t="shared" si="1"/>
        <v/>
      </c>
      <c r="J802" s="7" t="str">
        <f>IFERROR(__xludf.DUMMYFUNCTION("IF($C802 = """", """", IFNA(
  ROWS(
    FILTER(
      Events!$G$2:$G1000,
      Events!$B$2:$B1000 &gt;= TODAY() - 90,
      REGEXMATCH(
        "","" &amp; SUBSTITUTE(Events!$G$2:$G1000, "" "", """") &amp; "","",
        "","" &amp; SUBSTITUTE($C802, "" "", """") &amp; """&amp;",""
      )
    )
  ),
0)
)"),"")</f>
        <v/>
      </c>
      <c r="K802" s="7" t="str">
        <f t="shared" si="2"/>
        <v>#N/A</v>
      </c>
    </row>
    <row r="803">
      <c r="C803" s="6" t="str">
        <f t="shared" si="1"/>
        <v/>
      </c>
      <c r="J803" s="7" t="str">
        <f>IFERROR(__xludf.DUMMYFUNCTION("IF($C803 = """", """", IFNA(
  ROWS(
    FILTER(
      Events!$G$2:$G1000,
      Events!$B$2:$B1000 &gt;= TODAY() - 90,
      REGEXMATCH(
        "","" &amp; SUBSTITUTE(Events!$G$2:$G1000, "" "", """") &amp; "","",
        "","" &amp; SUBSTITUTE($C803, "" "", """") &amp; """&amp;",""
      )
    )
  ),
0)
)"),"")</f>
        <v/>
      </c>
      <c r="K803" s="7" t="str">
        <f t="shared" si="2"/>
        <v>#N/A</v>
      </c>
    </row>
    <row r="804">
      <c r="C804" s="6" t="str">
        <f t="shared" si="1"/>
        <v/>
      </c>
      <c r="J804" s="7" t="str">
        <f>IFERROR(__xludf.DUMMYFUNCTION("IF($C804 = """", """", IFNA(
  ROWS(
    FILTER(
      Events!$G$2:$G1000,
      Events!$B$2:$B1000 &gt;= TODAY() - 90,
      REGEXMATCH(
        "","" &amp; SUBSTITUTE(Events!$G$2:$G1000, "" "", """") &amp; "","",
        "","" &amp; SUBSTITUTE($C804, "" "", """") &amp; """&amp;",""
      )
    )
  ),
0)
)"),"")</f>
        <v/>
      </c>
      <c r="K804" s="7" t="str">
        <f t="shared" si="2"/>
        <v>#N/A</v>
      </c>
    </row>
    <row r="805">
      <c r="C805" s="6" t="str">
        <f t="shared" si="1"/>
        <v/>
      </c>
      <c r="J805" s="7" t="str">
        <f>IFERROR(__xludf.DUMMYFUNCTION("IF($C805 = """", """", IFNA(
  ROWS(
    FILTER(
      Events!$G$2:$G1000,
      Events!$B$2:$B1000 &gt;= TODAY() - 90,
      REGEXMATCH(
        "","" &amp; SUBSTITUTE(Events!$G$2:$G1000, "" "", """") &amp; "","",
        "","" &amp; SUBSTITUTE($C805, "" "", """") &amp; """&amp;",""
      )
    )
  ),
0)
)"),"")</f>
        <v/>
      </c>
      <c r="K805" s="7" t="str">
        <f t="shared" si="2"/>
        <v>#N/A</v>
      </c>
    </row>
    <row r="806">
      <c r="C806" s="6" t="str">
        <f t="shared" si="1"/>
        <v/>
      </c>
      <c r="J806" s="7" t="str">
        <f>IFERROR(__xludf.DUMMYFUNCTION("IF($C806 = """", """", IFNA(
  ROWS(
    FILTER(
      Events!$G$2:$G1000,
      Events!$B$2:$B1000 &gt;= TODAY() - 90,
      REGEXMATCH(
        "","" &amp; SUBSTITUTE(Events!$G$2:$G1000, "" "", """") &amp; "","",
        "","" &amp; SUBSTITUTE($C806, "" "", """") &amp; """&amp;",""
      )
    )
  ),
0)
)"),"")</f>
        <v/>
      </c>
      <c r="K806" s="7" t="str">
        <f t="shared" si="2"/>
        <v>#N/A</v>
      </c>
    </row>
    <row r="807">
      <c r="C807" s="6" t="str">
        <f t="shared" si="1"/>
        <v/>
      </c>
      <c r="J807" s="7" t="str">
        <f>IFERROR(__xludf.DUMMYFUNCTION("IF($C807 = """", """", IFNA(
  ROWS(
    FILTER(
      Events!$G$2:$G1000,
      Events!$B$2:$B1000 &gt;= TODAY() - 90,
      REGEXMATCH(
        "","" &amp; SUBSTITUTE(Events!$G$2:$G1000, "" "", """") &amp; "","",
        "","" &amp; SUBSTITUTE($C807, "" "", """") &amp; """&amp;",""
      )
    )
  ),
0)
)"),"")</f>
        <v/>
      </c>
      <c r="K807" s="7" t="str">
        <f t="shared" si="2"/>
        <v>#N/A</v>
      </c>
    </row>
    <row r="808">
      <c r="C808" s="6" t="str">
        <f t="shared" si="1"/>
        <v/>
      </c>
      <c r="J808" s="7" t="str">
        <f>IFERROR(__xludf.DUMMYFUNCTION("IF($C808 = """", """", IFNA(
  ROWS(
    FILTER(
      Events!$G$2:$G1000,
      Events!$B$2:$B1000 &gt;= TODAY() - 90,
      REGEXMATCH(
        "","" &amp; SUBSTITUTE(Events!$G$2:$G1000, "" "", """") &amp; "","",
        "","" &amp; SUBSTITUTE($C808, "" "", """") &amp; """&amp;",""
      )
    )
  ),
0)
)"),"")</f>
        <v/>
      </c>
      <c r="K808" s="7" t="str">
        <f t="shared" si="2"/>
        <v>#N/A</v>
      </c>
    </row>
    <row r="809">
      <c r="C809" s="6" t="str">
        <f t="shared" si="1"/>
        <v/>
      </c>
      <c r="J809" s="7" t="str">
        <f>IFERROR(__xludf.DUMMYFUNCTION("IF($C809 = """", """", IFNA(
  ROWS(
    FILTER(
      Events!$G$2:$G1000,
      Events!$B$2:$B1000 &gt;= TODAY() - 90,
      REGEXMATCH(
        "","" &amp; SUBSTITUTE(Events!$G$2:$G1000, "" "", """") &amp; "","",
        "","" &amp; SUBSTITUTE($C809, "" "", """") &amp; """&amp;",""
      )
    )
  ),
0)
)"),"")</f>
        <v/>
      </c>
      <c r="K809" s="7" t="str">
        <f t="shared" si="2"/>
        <v>#N/A</v>
      </c>
    </row>
    <row r="810">
      <c r="C810" s="6" t="str">
        <f t="shared" si="1"/>
        <v/>
      </c>
      <c r="J810" s="7" t="str">
        <f>IFERROR(__xludf.DUMMYFUNCTION("IF($C810 = """", """", IFNA(
  ROWS(
    FILTER(
      Events!$G$2:$G1000,
      Events!$B$2:$B1000 &gt;= TODAY() - 90,
      REGEXMATCH(
        "","" &amp; SUBSTITUTE(Events!$G$2:$G1000, "" "", """") &amp; "","",
        "","" &amp; SUBSTITUTE($C810, "" "", """") &amp; """&amp;",""
      )
    )
  ),
0)
)"),"")</f>
        <v/>
      </c>
      <c r="K810" s="7" t="str">
        <f t="shared" si="2"/>
        <v>#N/A</v>
      </c>
    </row>
    <row r="811">
      <c r="C811" s="6" t="str">
        <f t="shared" si="1"/>
        <v/>
      </c>
      <c r="J811" s="7" t="str">
        <f>IFERROR(__xludf.DUMMYFUNCTION("IF($C811 = """", """", IFNA(
  ROWS(
    FILTER(
      Events!$G$2:$G1000,
      Events!$B$2:$B1000 &gt;= TODAY() - 90,
      REGEXMATCH(
        "","" &amp; SUBSTITUTE(Events!$G$2:$G1000, "" "", """") &amp; "","",
        "","" &amp; SUBSTITUTE($C811, "" "", """") &amp; """&amp;",""
      )
    )
  ),
0)
)"),"")</f>
        <v/>
      </c>
      <c r="K811" s="7" t="str">
        <f t="shared" si="2"/>
        <v>#N/A</v>
      </c>
    </row>
    <row r="812">
      <c r="C812" s="6" t="str">
        <f t="shared" si="1"/>
        <v/>
      </c>
      <c r="J812" s="7" t="str">
        <f>IFERROR(__xludf.DUMMYFUNCTION("IF($C812 = """", """", IFNA(
  ROWS(
    FILTER(
      Events!$G$2:$G1000,
      Events!$B$2:$B1000 &gt;= TODAY() - 90,
      REGEXMATCH(
        "","" &amp; SUBSTITUTE(Events!$G$2:$G1000, "" "", """") &amp; "","",
        "","" &amp; SUBSTITUTE($C812, "" "", """") &amp; """&amp;",""
      )
    )
  ),
0)
)"),"")</f>
        <v/>
      </c>
      <c r="K812" s="7" t="str">
        <f t="shared" si="2"/>
        <v>#N/A</v>
      </c>
    </row>
    <row r="813">
      <c r="C813" s="6" t="str">
        <f t="shared" si="1"/>
        <v/>
      </c>
      <c r="J813" s="7" t="str">
        <f>IFERROR(__xludf.DUMMYFUNCTION("IF($C813 = """", """", IFNA(
  ROWS(
    FILTER(
      Events!$G$2:$G1000,
      Events!$B$2:$B1000 &gt;= TODAY() - 90,
      REGEXMATCH(
        "","" &amp; SUBSTITUTE(Events!$G$2:$G1000, "" "", """") &amp; "","",
        "","" &amp; SUBSTITUTE($C813, "" "", """") &amp; """&amp;",""
      )
    )
  ),
0)
)"),"")</f>
        <v/>
      </c>
      <c r="K813" s="7" t="str">
        <f t="shared" si="2"/>
        <v>#N/A</v>
      </c>
    </row>
    <row r="814">
      <c r="C814" s="6" t="str">
        <f t="shared" si="1"/>
        <v/>
      </c>
      <c r="J814" s="7" t="str">
        <f>IFERROR(__xludf.DUMMYFUNCTION("IF($C814 = """", """", IFNA(
  ROWS(
    FILTER(
      Events!$G$2:$G1000,
      Events!$B$2:$B1000 &gt;= TODAY() - 90,
      REGEXMATCH(
        "","" &amp; SUBSTITUTE(Events!$G$2:$G1000, "" "", """") &amp; "","",
        "","" &amp; SUBSTITUTE($C814, "" "", """") &amp; """&amp;",""
      )
    )
  ),
0)
)"),"")</f>
        <v/>
      </c>
      <c r="K814" s="7" t="str">
        <f t="shared" si="2"/>
        <v>#N/A</v>
      </c>
    </row>
    <row r="815">
      <c r="C815" s="6" t="str">
        <f t="shared" si="1"/>
        <v/>
      </c>
      <c r="J815" s="7" t="str">
        <f>IFERROR(__xludf.DUMMYFUNCTION("IF($C815 = """", """", IFNA(
  ROWS(
    FILTER(
      Events!$G$2:$G1000,
      Events!$B$2:$B1000 &gt;= TODAY() - 90,
      REGEXMATCH(
        "","" &amp; SUBSTITUTE(Events!$G$2:$G1000, "" "", """") &amp; "","",
        "","" &amp; SUBSTITUTE($C815, "" "", """") &amp; """&amp;",""
      )
    )
  ),
0)
)"),"")</f>
        <v/>
      </c>
      <c r="K815" s="7" t="str">
        <f t="shared" si="2"/>
        <v>#N/A</v>
      </c>
    </row>
    <row r="816">
      <c r="C816" s="6" t="str">
        <f t="shared" si="1"/>
        <v/>
      </c>
      <c r="J816" s="7" t="str">
        <f>IFERROR(__xludf.DUMMYFUNCTION("IF($C816 = """", """", IFNA(
  ROWS(
    FILTER(
      Events!$G$2:$G1000,
      Events!$B$2:$B1000 &gt;= TODAY() - 90,
      REGEXMATCH(
        "","" &amp; SUBSTITUTE(Events!$G$2:$G1000, "" "", """") &amp; "","",
        "","" &amp; SUBSTITUTE($C816, "" "", """") &amp; """&amp;",""
      )
    )
  ),
0)
)"),"")</f>
        <v/>
      </c>
      <c r="K816" s="7" t="str">
        <f t="shared" si="2"/>
        <v>#N/A</v>
      </c>
    </row>
    <row r="817">
      <c r="C817" s="6" t="str">
        <f t="shared" si="1"/>
        <v/>
      </c>
      <c r="J817" s="7" t="str">
        <f>IFERROR(__xludf.DUMMYFUNCTION("IF($C817 = """", """", IFNA(
  ROWS(
    FILTER(
      Events!$G$2:$G1000,
      Events!$B$2:$B1000 &gt;= TODAY() - 90,
      REGEXMATCH(
        "","" &amp; SUBSTITUTE(Events!$G$2:$G1000, "" "", """") &amp; "","",
        "","" &amp; SUBSTITUTE($C817, "" "", """") &amp; """&amp;",""
      )
    )
  ),
0)
)"),"")</f>
        <v/>
      </c>
      <c r="K817" s="7" t="str">
        <f t="shared" si="2"/>
        <v>#N/A</v>
      </c>
    </row>
    <row r="818">
      <c r="C818" s="6" t="str">
        <f t="shared" si="1"/>
        <v/>
      </c>
      <c r="J818" s="7" t="str">
        <f>IFERROR(__xludf.DUMMYFUNCTION("IF($C818 = """", """", IFNA(
  ROWS(
    FILTER(
      Events!$G$2:$G1000,
      Events!$B$2:$B1000 &gt;= TODAY() - 90,
      REGEXMATCH(
        "","" &amp; SUBSTITUTE(Events!$G$2:$G1000, "" "", """") &amp; "","",
        "","" &amp; SUBSTITUTE($C818, "" "", """") &amp; """&amp;",""
      )
    )
  ),
0)
)"),"")</f>
        <v/>
      </c>
      <c r="K818" s="7" t="str">
        <f t="shared" si="2"/>
        <v>#N/A</v>
      </c>
    </row>
    <row r="819">
      <c r="C819" s="6" t="str">
        <f t="shared" si="1"/>
        <v/>
      </c>
      <c r="J819" s="7" t="str">
        <f>IFERROR(__xludf.DUMMYFUNCTION("IF($C819 = """", """", IFNA(
  ROWS(
    FILTER(
      Events!$G$2:$G1000,
      Events!$B$2:$B1000 &gt;= TODAY() - 90,
      REGEXMATCH(
        "","" &amp; SUBSTITUTE(Events!$G$2:$G1000, "" "", """") &amp; "","",
        "","" &amp; SUBSTITUTE($C819, "" "", """") &amp; """&amp;",""
      )
    )
  ),
0)
)"),"")</f>
        <v/>
      </c>
      <c r="K819" s="7" t="str">
        <f t="shared" si="2"/>
        <v>#N/A</v>
      </c>
    </row>
    <row r="820">
      <c r="C820" s="6" t="str">
        <f t="shared" si="1"/>
        <v/>
      </c>
      <c r="J820" s="7" t="str">
        <f>IFERROR(__xludf.DUMMYFUNCTION("IF($C820 = """", """", IFNA(
  ROWS(
    FILTER(
      Events!$G$2:$G1000,
      Events!$B$2:$B1000 &gt;= TODAY() - 90,
      REGEXMATCH(
        "","" &amp; SUBSTITUTE(Events!$G$2:$G1000, "" "", """") &amp; "","",
        "","" &amp; SUBSTITUTE($C820, "" "", """") &amp; """&amp;",""
      )
    )
  ),
0)
)"),"")</f>
        <v/>
      </c>
      <c r="K820" s="7" t="str">
        <f t="shared" si="2"/>
        <v>#N/A</v>
      </c>
    </row>
    <row r="821">
      <c r="C821" s="6" t="str">
        <f t="shared" si="1"/>
        <v/>
      </c>
      <c r="J821" s="7" t="str">
        <f>IFERROR(__xludf.DUMMYFUNCTION("IF($C821 = """", """", IFNA(
  ROWS(
    FILTER(
      Events!$G$2:$G1000,
      Events!$B$2:$B1000 &gt;= TODAY() - 90,
      REGEXMATCH(
        "","" &amp; SUBSTITUTE(Events!$G$2:$G1000, "" "", """") &amp; "","",
        "","" &amp; SUBSTITUTE($C821, "" "", """") &amp; """&amp;",""
      )
    )
  ),
0)
)"),"")</f>
        <v/>
      </c>
      <c r="K821" s="7" t="str">
        <f t="shared" si="2"/>
        <v>#N/A</v>
      </c>
    </row>
    <row r="822">
      <c r="C822" s="6" t="str">
        <f t="shared" si="1"/>
        <v/>
      </c>
      <c r="J822" s="7" t="str">
        <f>IFERROR(__xludf.DUMMYFUNCTION("IF($C822 = """", """", IFNA(
  ROWS(
    FILTER(
      Events!$G$2:$G1000,
      Events!$B$2:$B1000 &gt;= TODAY() - 90,
      REGEXMATCH(
        "","" &amp; SUBSTITUTE(Events!$G$2:$G1000, "" "", """") &amp; "","",
        "","" &amp; SUBSTITUTE($C822, "" "", """") &amp; """&amp;",""
      )
    )
  ),
0)
)"),"")</f>
        <v/>
      </c>
      <c r="K822" s="7" t="str">
        <f t="shared" si="2"/>
        <v>#N/A</v>
      </c>
    </row>
    <row r="823">
      <c r="C823" s="6" t="str">
        <f t="shared" si="1"/>
        <v/>
      </c>
      <c r="J823" s="7" t="str">
        <f>IFERROR(__xludf.DUMMYFUNCTION("IF($C823 = """", """", IFNA(
  ROWS(
    FILTER(
      Events!$G$2:$G1000,
      Events!$B$2:$B1000 &gt;= TODAY() - 90,
      REGEXMATCH(
        "","" &amp; SUBSTITUTE(Events!$G$2:$G1000, "" "", """") &amp; "","",
        "","" &amp; SUBSTITUTE($C823, "" "", """") &amp; """&amp;",""
      )
    )
  ),
0)
)"),"")</f>
        <v/>
      </c>
      <c r="K823" s="7" t="str">
        <f t="shared" si="2"/>
        <v>#N/A</v>
      </c>
    </row>
    <row r="824">
      <c r="C824" s="6" t="str">
        <f t="shared" si="1"/>
        <v/>
      </c>
      <c r="J824" s="7" t="str">
        <f>IFERROR(__xludf.DUMMYFUNCTION("IF($C824 = """", """", IFNA(
  ROWS(
    FILTER(
      Events!$G$2:$G1000,
      Events!$B$2:$B1000 &gt;= TODAY() - 90,
      REGEXMATCH(
        "","" &amp; SUBSTITUTE(Events!$G$2:$G1000, "" "", """") &amp; "","",
        "","" &amp; SUBSTITUTE($C824, "" "", """") &amp; """&amp;",""
      )
    )
  ),
0)
)"),"")</f>
        <v/>
      </c>
      <c r="K824" s="7" t="str">
        <f t="shared" si="2"/>
        <v>#N/A</v>
      </c>
    </row>
    <row r="825">
      <c r="C825" s="6" t="str">
        <f t="shared" si="1"/>
        <v/>
      </c>
      <c r="J825" s="7" t="str">
        <f>IFERROR(__xludf.DUMMYFUNCTION("IF($C825 = """", """", IFNA(
  ROWS(
    FILTER(
      Events!$G$2:$G1000,
      Events!$B$2:$B1000 &gt;= TODAY() - 90,
      REGEXMATCH(
        "","" &amp; SUBSTITUTE(Events!$G$2:$G1000, "" "", """") &amp; "","",
        "","" &amp; SUBSTITUTE($C825, "" "", """") &amp; """&amp;",""
      )
    )
  ),
0)
)"),"")</f>
        <v/>
      </c>
      <c r="K825" s="7" t="str">
        <f t="shared" si="2"/>
        <v>#N/A</v>
      </c>
    </row>
    <row r="826">
      <c r="C826" s="6" t="str">
        <f t="shared" si="1"/>
        <v/>
      </c>
      <c r="J826" s="7" t="str">
        <f>IFERROR(__xludf.DUMMYFUNCTION("IF($C826 = """", """", IFNA(
  ROWS(
    FILTER(
      Events!$G$2:$G1000,
      Events!$B$2:$B1000 &gt;= TODAY() - 90,
      REGEXMATCH(
        "","" &amp; SUBSTITUTE(Events!$G$2:$G1000, "" "", """") &amp; "","",
        "","" &amp; SUBSTITUTE($C826, "" "", """") &amp; """&amp;",""
      )
    )
  ),
0)
)"),"")</f>
        <v/>
      </c>
      <c r="K826" s="7" t="str">
        <f t="shared" si="2"/>
        <v>#N/A</v>
      </c>
    </row>
    <row r="827">
      <c r="C827" s="6" t="str">
        <f t="shared" si="1"/>
        <v/>
      </c>
      <c r="J827" s="7" t="str">
        <f>IFERROR(__xludf.DUMMYFUNCTION("IF($C827 = """", """", IFNA(
  ROWS(
    FILTER(
      Events!$G$2:$G1000,
      Events!$B$2:$B1000 &gt;= TODAY() - 90,
      REGEXMATCH(
        "","" &amp; SUBSTITUTE(Events!$G$2:$G1000, "" "", """") &amp; "","",
        "","" &amp; SUBSTITUTE($C827, "" "", """") &amp; """&amp;",""
      )
    )
  ),
0)
)"),"")</f>
        <v/>
      </c>
      <c r="K827" s="7" t="str">
        <f t="shared" si="2"/>
        <v>#N/A</v>
      </c>
    </row>
    <row r="828">
      <c r="C828" s="6" t="str">
        <f t="shared" si="1"/>
        <v/>
      </c>
      <c r="J828" s="7" t="str">
        <f>IFERROR(__xludf.DUMMYFUNCTION("IF($C828 = """", """", IFNA(
  ROWS(
    FILTER(
      Events!$G$2:$G1000,
      Events!$B$2:$B1000 &gt;= TODAY() - 90,
      REGEXMATCH(
        "","" &amp; SUBSTITUTE(Events!$G$2:$G1000, "" "", """") &amp; "","",
        "","" &amp; SUBSTITUTE($C828, "" "", """") &amp; """&amp;",""
      )
    )
  ),
0)
)"),"")</f>
        <v/>
      </c>
      <c r="K828" s="7" t="str">
        <f t="shared" si="2"/>
        <v>#N/A</v>
      </c>
    </row>
    <row r="829">
      <c r="C829" s="6" t="str">
        <f t="shared" si="1"/>
        <v/>
      </c>
      <c r="J829" s="7" t="str">
        <f>IFERROR(__xludf.DUMMYFUNCTION("IF($C829 = """", """", IFNA(
  ROWS(
    FILTER(
      Events!$G$2:$G1000,
      Events!$B$2:$B1000 &gt;= TODAY() - 90,
      REGEXMATCH(
        "","" &amp; SUBSTITUTE(Events!$G$2:$G1000, "" "", """") &amp; "","",
        "","" &amp; SUBSTITUTE($C829, "" "", """") &amp; """&amp;",""
      )
    )
  ),
0)
)"),"")</f>
        <v/>
      </c>
      <c r="K829" s="7" t="str">
        <f t="shared" si="2"/>
        <v>#N/A</v>
      </c>
    </row>
    <row r="830">
      <c r="C830" s="6" t="str">
        <f t="shared" si="1"/>
        <v/>
      </c>
      <c r="J830" s="7" t="str">
        <f>IFERROR(__xludf.DUMMYFUNCTION("IF($C830 = """", """", IFNA(
  ROWS(
    FILTER(
      Events!$G$2:$G1000,
      Events!$B$2:$B1000 &gt;= TODAY() - 90,
      REGEXMATCH(
        "","" &amp; SUBSTITUTE(Events!$G$2:$G1000, "" "", """") &amp; "","",
        "","" &amp; SUBSTITUTE($C830, "" "", """") &amp; """&amp;",""
      )
    )
  ),
0)
)"),"")</f>
        <v/>
      </c>
      <c r="K830" s="7" t="str">
        <f t="shared" si="2"/>
        <v>#N/A</v>
      </c>
    </row>
    <row r="831">
      <c r="C831" s="6" t="str">
        <f t="shared" si="1"/>
        <v/>
      </c>
      <c r="J831" s="7" t="str">
        <f>IFERROR(__xludf.DUMMYFUNCTION("IF($C831 = """", """", IFNA(
  ROWS(
    FILTER(
      Events!$G$2:$G1000,
      Events!$B$2:$B1000 &gt;= TODAY() - 90,
      REGEXMATCH(
        "","" &amp; SUBSTITUTE(Events!$G$2:$G1000, "" "", """") &amp; "","",
        "","" &amp; SUBSTITUTE($C831, "" "", """") &amp; """&amp;",""
      )
    )
  ),
0)
)"),"")</f>
        <v/>
      </c>
      <c r="K831" s="7" t="str">
        <f t="shared" si="2"/>
        <v>#N/A</v>
      </c>
    </row>
    <row r="832">
      <c r="C832" s="6" t="str">
        <f t="shared" si="1"/>
        <v/>
      </c>
      <c r="J832" s="7" t="str">
        <f>IFERROR(__xludf.DUMMYFUNCTION("IF($C832 = """", """", IFNA(
  ROWS(
    FILTER(
      Events!$G$2:$G1000,
      Events!$B$2:$B1000 &gt;= TODAY() - 90,
      REGEXMATCH(
        "","" &amp; SUBSTITUTE(Events!$G$2:$G1000, "" "", """") &amp; "","",
        "","" &amp; SUBSTITUTE($C832, "" "", """") &amp; """&amp;",""
      )
    )
  ),
0)
)"),"")</f>
        <v/>
      </c>
      <c r="K832" s="7" t="str">
        <f t="shared" si="2"/>
        <v>#N/A</v>
      </c>
    </row>
    <row r="833">
      <c r="C833" s="6" t="str">
        <f t="shared" si="1"/>
        <v/>
      </c>
      <c r="J833" s="7" t="str">
        <f>IFERROR(__xludf.DUMMYFUNCTION("IF($C833 = """", """", IFNA(
  ROWS(
    FILTER(
      Events!$G$2:$G1000,
      Events!$B$2:$B1000 &gt;= TODAY() - 90,
      REGEXMATCH(
        "","" &amp; SUBSTITUTE(Events!$G$2:$G1000, "" "", """") &amp; "","",
        "","" &amp; SUBSTITUTE($C833, "" "", """") &amp; """&amp;",""
      )
    )
  ),
0)
)"),"")</f>
        <v/>
      </c>
      <c r="K833" s="7" t="str">
        <f t="shared" si="2"/>
        <v>#N/A</v>
      </c>
    </row>
    <row r="834">
      <c r="C834" s="6" t="str">
        <f t="shared" si="1"/>
        <v/>
      </c>
      <c r="J834" s="7" t="str">
        <f>IFERROR(__xludf.DUMMYFUNCTION("IF($C834 = """", """", IFNA(
  ROWS(
    FILTER(
      Events!$G$2:$G1000,
      Events!$B$2:$B1000 &gt;= TODAY() - 90,
      REGEXMATCH(
        "","" &amp; SUBSTITUTE(Events!$G$2:$G1000, "" "", """") &amp; "","",
        "","" &amp; SUBSTITUTE($C834, "" "", """") &amp; """&amp;",""
      )
    )
  ),
0)
)"),"")</f>
        <v/>
      </c>
      <c r="K834" s="7" t="str">
        <f t="shared" si="2"/>
        <v>#N/A</v>
      </c>
    </row>
    <row r="835">
      <c r="C835" s="6" t="str">
        <f t="shared" si="1"/>
        <v/>
      </c>
      <c r="J835" s="7" t="str">
        <f>IFERROR(__xludf.DUMMYFUNCTION("IF($C835 = """", """", IFNA(
  ROWS(
    FILTER(
      Events!$G$2:$G1000,
      Events!$B$2:$B1000 &gt;= TODAY() - 90,
      REGEXMATCH(
        "","" &amp; SUBSTITUTE(Events!$G$2:$G1000, "" "", """") &amp; "","",
        "","" &amp; SUBSTITUTE($C835, "" "", """") &amp; """&amp;",""
      )
    )
  ),
0)
)"),"")</f>
        <v/>
      </c>
      <c r="K835" s="7" t="str">
        <f t="shared" si="2"/>
        <v>#N/A</v>
      </c>
    </row>
    <row r="836">
      <c r="C836" s="6" t="str">
        <f t="shared" si="1"/>
        <v/>
      </c>
      <c r="J836" s="7" t="str">
        <f>IFERROR(__xludf.DUMMYFUNCTION("IF($C836 = """", """", IFNA(
  ROWS(
    FILTER(
      Events!$G$2:$G1000,
      Events!$B$2:$B1000 &gt;= TODAY() - 90,
      REGEXMATCH(
        "","" &amp; SUBSTITUTE(Events!$G$2:$G1000, "" "", """") &amp; "","",
        "","" &amp; SUBSTITUTE($C836, "" "", """") &amp; """&amp;",""
      )
    )
  ),
0)
)"),"")</f>
        <v/>
      </c>
      <c r="K836" s="7" t="str">
        <f t="shared" si="2"/>
        <v>#N/A</v>
      </c>
    </row>
    <row r="837">
      <c r="C837" s="6" t="str">
        <f t="shared" si="1"/>
        <v/>
      </c>
      <c r="J837" s="7" t="str">
        <f>IFERROR(__xludf.DUMMYFUNCTION("IF($C837 = """", """", IFNA(
  ROWS(
    FILTER(
      Events!$G$2:$G1000,
      Events!$B$2:$B1000 &gt;= TODAY() - 90,
      REGEXMATCH(
        "","" &amp; SUBSTITUTE(Events!$G$2:$G1000, "" "", """") &amp; "","",
        "","" &amp; SUBSTITUTE($C837, "" "", """") &amp; """&amp;",""
      )
    )
  ),
0)
)"),"")</f>
        <v/>
      </c>
      <c r="K837" s="7" t="str">
        <f t="shared" si="2"/>
        <v>#N/A</v>
      </c>
    </row>
    <row r="838">
      <c r="C838" s="6" t="str">
        <f t="shared" si="1"/>
        <v/>
      </c>
      <c r="J838" s="7" t="str">
        <f>IFERROR(__xludf.DUMMYFUNCTION("IF($C838 = """", """", IFNA(
  ROWS(
    FILTER(
      Events!$G$2:$G1000,
      Events!$B$2:$B1000 &gt;= TODAY() - 90,
      REGEXMATCH(
        "","" &amp; SUBSTITUTE(Events!$G$2:$G1000, "" "", """") &amp; "","",
        "","" &amp; SUBSTITUTE($C838, "" "", """") &amp; """&amp;",""
      )
    )
  ),
0)
)"),"")</f>
        <v/>
      </c>
      <c r="K838" s="7" t="str">
        <f t="shared" si="2"/>
        <v>#N/A</v>
      </c>
    </row>
    <row r="839">
      <c r="C839" s="6" t="str">
        <f t="shared" si="1"/>
        <v/>
      </c>
      <c r="J839" s="7" t="str">
        <f>IFERROR(__xludf.DUMMYFUNCTION("IF($C839 = """", """", IFNA(
  ROWS(
    FILTER(
      Events!$G$2:$G1000,
      Events!$B$2:$B1000 &gt;= TODAY() - 90,
      REGEXMATCH(
        "","" &amp; SUBSTITUTE(Events!$G$2:$G1000, "" "", """") &amp; "","",
        "","" &amp; SUBSTITUTE($C839, "" "", """") &amp; """&amp;",""
      )
    )
  ),
0)
)"),"")</f>
        <v/>
      </c>
      <c r="K839" s="7" t="str">
        <f t="shared" si="2"/>
        <v>#N/A</v>
      </c>
    </row>
    <row r="840">
      <c r="C840" s="6" t="str">
        <f t="shared" si="1"/>
        <v/>
      </c>
      <c r="J840" s="7" t="str">
        <f>IFERROR(__xludf.DUMMYFUNCTION("IF($C840 = """", """", IFNA(
  ROWS(
    FILTER(
      Events!$G$2:$G1000,
      Events!$B$2:$B1000 &gt;= TODAY() - 90,
      REGEXMATCH(
        "","" &amp; SUBSTITUTE(Events!$G$2:$G1000, "" "", """") &amp; "","",
        "","" &amp; SUBSTITUTE($C840, "" "", """") &amp; """&amp;",""
      )
    )
  ),
0)
)"),"")</f>
        <v/>
      </c>
      <c r="K840" s="7" t="str">
        <f t="shared" si="2"/>
        <v>#N/A</v>
      </c>
    </row>
    <row r="841">
      <c r="C841" s="6" t="str">
        <f t="shared" si="1"/>
        <v/>
      </c>
      <c r="J841" s="7" t="str">
        <f>IFERROR(__xludf.DUMMYFUNCTION("IF($C841 = """", """", IFNA(
  ROWS(
    FILTER(
      Events!$G$2:$G1000,
      Events!$B$2:$B1000 &gt;= TODAY() - 90,
      REGEXMATCH(
        "","" &amp; SUBSTITUTE(Events!$G$2:$G1000, "" "", """") &amp; "","",
        "","" &amp; SUBSTITUTE($C841, "" "", """") &amp; """&amp;",""
      )
    )
  ),
0)
)"),"")</f>
        <v/>
      </c>
      <c r="K841" s="7" t="str">
        <f t="shared" si="2"/>
        <v>#N/A</v>
      </c>
    </row>
    <row r="842">
      <c r="C842" s="6" t="str">
        <f t="shared" si="1"/>
        <v/>
      </c>
      <c r="J842" s="7" t="str">
        <f>IFERROR(__xludf.DUMMYFUNCTION("IF($C842 = """", """", IFNA(
  ROWS(
    FILTER(
      Events!$G$2:$G1000,
      Events!$B$2:$B1000 &gt;= TODAY() - 90,
      REGEXMATCH(
        "","" &amp; SUBSTITUTE(Events!$G$2:$G1000, "" "", """") &amp; "","",
        "","" &amp; SUBSTITUTE($C842, "" "", """") &amp; """&amp;",""
      )
    )
  ),
0)
)"),"")</f>
        <v/>
      </c>
      <c r="K842" s="7" t="str">
        <f t="shared" si="2"/>
        <v>#N/A</v>
      </c>
    </row>
    <row r="843">
      <c r="C843" s="6" t="str">
        <f t="shared" si="1"/>
        <v/>
      </c>
      <c r="J843" s="7" t="str">
        <f>IFERROR(__xludf.DUMMYFUNCTION("IF($C843 = """", """", IFNA(
  ROWS(
    FILTER(
      Events!$G$2:$G1000,
      Events!$B$2:$B1000 &gt;= TODAY() - 90,
      REGEXMATCH(
        "","" &amp; SUBSTITUTE(Events!$G$2:$G1000, "" "", """") &amp; "","",
        "","" &amp; SUBSTITUTE($C843, "" "", """") &amp; """&amp;",""
      )
    )
  ),
0)
)"),"")</f>
        <v/>
      </c>
      <c r="K843" s="7" t="str">
        <f t="shared" si="2"/>
        <v>#N/A</v>
      </c>
    </row>
    <row r="844">
      <c r="C844" s="6" t="str">
        <f t="shared" si="1"/>
        <v/>
      </c>
      <c r="J844" s="7" t="str">
        <f>IFERROR(__xludf.DUMMYFUNCTION("IF($C844 = """", """", IFNA(
  ROWS(
    FILTER(
      Events!$G$2:$G1000,
      Events!$B$2:$B1000 &gt;= TODAY() - 90,
      REGEXMATCH(
        "","" &amp; SUBSTITUTE(Events!$G$2:$G1000, "" "", """") &amp; "","",
        "","" &amp; SUBSTITUTE($C844, "" "", """") &amp; """&amp;",""
      )
    )
  ),
0)
)"),"")</f>
        <v/>
      </c>
      <c r="K844" s="7" t="str">
        <f t="shared" si="2"/>
        <v>#N/A</v>
      </c>
    </row>
    <row r="845">
      <c r="C845" s="6" t="str">
        <f t="shared" si="1"/>
        <v/>
      </c>
      <c r="J845" s="7" t="str">
        <f>IFERROR(__xludf.DUMMYFUNCTION("IF($C845 = """", """", IFNA(
  ROWS(
    FILTER(
      Events!$G$2:$G1000,
      Events!$B$2:$B1000 &gt;= TODAY() - 90,
      REGEXMATCH(
        "","" &amp; SUBSTITUTE(Events!$G$2:$G1000, "" "", """") &amp; "","",
        "","" &amp; SUBSTITUTE($C845, "" "", """") &amp; """&amp;",""
      )
    )
  ),
0)
)"),"")</f>
        <v/>
      </c>
      <c r="K845" s="7" t="str">
        <f t="shared" si="2"/>
        <v>#N/A</v>
      </c>
    </row>
    <row r="846">
      <c r="C846" s="6" t="str">
        <f t="shared" si="1"/>
        <v/>
      </c>
      <c r="J846" s="7" t="str">
        <f>IFERROR(__xludf.DUMMYFUNCTION("IF($C846 = """", """", IFNA(
  ROWS(
    FILTER(
      Events!$G$2:$G1000,
      Events!$B$2:$B1000 &gt;= TODAY() - 90,
      REGEXMATCH(
        "","" &amp; SUBSTITUTE(Events!$G$2:$G1000, "" "", """") &amp; "","",
        "","" &amp; SUBSTITUTE($C846, "" "", """") &amp; """&amp;",""
      )
    )
  ),
0)
)"),"")</f>
        <v/>
      </c>
      <c r="K846" s="7" t="str">
        <f t="shared" si="2"/>
        <v>#N/A</v>
      </c>
    </row>
    <row r="847">
      <c r="C847" s="6" t="str">
        <f t="shared" si="1"/>
        <v/>
      </c>
      <c r="J847" s="7" t="str">
        <f>IFERROR(__xludf.DUMMYFUNCTION("IF($C847 = """", """", IFNA(
  ROWS(
    FILTER(
      Events!$G$2:$G1000,
      Events!$B$2:$B1000 &gt;= TODAY() - 90,
      REGEXMATCH(
        "","" &amp; SUBSTITUTE(Events!$G$2:$G1000, "" "", """") &amp; "","",
        "","" &amp; SUBSTITUTE($C847, "" "", """") &amp; """&amp;",""
      )
    )
  ),
0)
)"),"")</f>
        <v/>
      </c>
      <c r="K847" s="7" t="str">
        <f t="shared" si="2"/>
        <v>#N/A</v>
      </c>
    </row>
    <row r="848">
      <c r="C848" s="6" t="str">
        <f t="shared" si="1"/>
        <v/>
      </c>
      <c r="J848" s="7" t="str">
        <f>IFERROR(__xludf.DUMMYFUNCTION("IF($C848 = """", """", IFNA(
  ROWS(
    FILTER(
      Events!$G$2:$G1000,
      Events!$B$2:$B1000 &gt;= TODAY() - 90,
      REGEXMATCH(
        "","" &amp; SUBSTITUTE(Events!$G$2:$G1000, "" "", """") &amp; "","",
        "","" &amp; SUBSTITUTE($C848, "" "", """") &amp; """&amp;",""
      )
    )
  ),
0)
)"),"")</f>
        <v/>
      </c>
      <c r="K848" s="7" t="str">
        <f t="shared" si="2"/>
        <v>#N/A</v>
      </c>
    </row>
    <row r="849">
      <c r="C849" s="6" t="str">
        <f t="shared" si="1"/>
        <v/>
      </c>
      <c r="J849" s="7" t="str">
        <f>IFERROR(__xludf.DUMMYFUNCTION("IF($C849 = """", """", IFNA(
  ROWS(
    FILTER(
      Events!$G$2:$G1000,
      Events!$B$2:$B1000 &gt;= TODAY() - 90,
      REGEXMATCH(
        "","" &amp; SUBSTITUTE(Events!$G$2:$G1000, "" "", """") &amp; "","",
        "","" &amp; SUBSTITUTE($C849, "" "", """") &amp; """&amp;",""
      )
    )
  ),
0)
)"),"")</f>
        <v/>
      </c>
      <c r="K849" s="7" t="str">
        <f t="shared" si="2"/>
        <v>#N/A</v>
      </c>
    </row>
    <row r="850">
      <c r="C850" s="6" t="str">
        <f t="shared" si="1"/>
        <v/>
      </c>
      <c r="J850" s="7" t="str">
        <f>IFERROR(__xludf.DUMMYFUNCTION("IF($C850 = """", """", IFNA(
  ROWS(
    FILTER(
      Events!$G$2:$G1000,
      Events!$B$2:$B1000 &gt;= TODAY() - 90,
      REGEXMATCH(
        "","" &amp; SUBSTITUTE(Events!$G$2:$G1000, "" "", """") &amp; "","",
        "","" &amp; SUBSTITUTE($C850, "" "", """") &amp; """&amp;",""
      )
    )
  ),
0)
)"),"")</f>
        <v/>
      </c>
      <c r="K850" s="7" t="str">
        <f t="shared" si="2"/>
        <v>#N/A</v>
      </c>
    </row>
    <row r="851">
      <c r="C851" s="6" t="str">
        <f t="shared" si="1"/>
        <v/>
      </c>
      <c r="J851" s="7" t="str">
        <f>IFERROR(__xludf.DUMMYFUNCTION("IF($C851 = """", """", IFNA(
  ROWS(
    FILTER(
      Events!$G$2:$G1000,
      Events!$B$2:$B1000 &gt;= TODAY() - 90,
      REGEXMATCH(
        "","" &amp; SUBSTITUTE(Events!$G$2:$G1000, "" "", """") &amp; "","",
        "","" &amp; SUBSTITUTE($C851, "" "", """") &amp; """&amp;",""
      )
    )
  ),
0)
)"),"")</f>
        <v/>
      </c>
      <c r="K851" s="7" t="str">
        <f t="shared" si="2"/>
        <v>#N/A</v>
      </c>
    </row>
    <row r="852">
      <c r="C852" s="6" t="str">
        <f t="shared" si="1"/>
        <v/>
      </c>
      <c r="J852" s="7" t="str">
        <f>IFERROR(__xludf.DUMMYFUNCTION("IF($C852 = """", """", IFNA(
  ROWS(
    FILTER(
      Events!$G$2:$G1000,
      Events!$B$2:$B1000 &gt;= TODAY() - 90,
      REGEXMATCH(
        "","" &amp; SUBSTITUTE(Events!$G$2:$G1000, "" "", """") &amp; "","",
        "","" &amp; SUBSTITUTE($C852, "" "", """") &amp; """&amp;",""
      )
    )
  ),
0)
)"),"")</f>
        <v/>
      </c>
      <c r="K852" s="7" t="str">
        <f t="shared" si="2"/>
        <v>#N/A</v>
      </c>
    </row>
    <row r="853">
      <c r="C853" s="6" t="str">
        <f t="shared" si="1"/>
        <v/>
      </c>
      <c r="J853" s="7" t="str">
        <f>IFERROR(__xludf.DUMMYFUNCTION("IF($C853 = """", """", IFNA(
  ROWS(
    FILTER(
      Events!$G$2:$G1000,
      Events!$B$2:$B1000 &gt;= TODAY() - 90,
      REGEXMATCH(
        "","" &amp; SUBSTITUTE(Events!$G$2:$G1000, "" "", """") &amp; "","",
        "","" &amp; SUBSTITUTE($C853, "" "", """") &amp; """&amp;",""
      )
    )
  ),
0)
)"),"")</f>
        <v/>
      </c>
      <c r="K853" s="7" t="str">
        <f t="shared" si="2"/>
        <v>#N/A</v>
      </c>
    </row>
    <row r="854">
      <c r="C854" s="6" t="str">
        <f t="shared" si="1"/>
        <v/>
      </c>
      <c r="J854" s="7" t="str">
        <f>IFERROR(__xludf.DUMMYFUNCTION("IF($C854 = """", """", IFNA(
  ROWS(
    FILTER(
      Events!$G$2:$G1000,
      Events!$B$2:$B1000 &gt;= TODAY() - 90,
      REGEXMATCH(
        "","" &amp; SUBSTITUTE(Events!$G$2:$G1000, "" "", """") &amp; "","",
        "","" &amp; SUBSTITUTE($C854, "" "", """") &amp; """&amp;",""
      )
    )
  ),
0)
)"),"")</f>
        <v/>
      </c>
      <c r="K854" s="7" t="str">
        <f t="shared" si="2"/>
        <v>#N/A</v>
      </c>
    </row>
    <row r="855">
      <c r="C855" s="6" t="str">
        <f t="shared" si="1"/>
        <v/>
      </c>
      <c r="J855" s="7" t="str">
        <f>IFERROR(__xludf.DUMMYFUNCTION("IF($C855 = """", """", IFNA(
  ROWS(
    FILTER(
      Events!$G$2:$G1000,
      Events!$B$2:$B1000 &gt;= TODAY() - 90,
      REGEXMATCH(
        "","" &amp; SUBSTITUTE(Events!$G$2:$G1000, "" "", """") &amp; "","",
        "","" &amp; SUBSTITUTE($C855, "" "", """") &amp; """&amp;",""
      )
    )
  ),
0)
)"),"")</f>
        <v/>
      </c>
      <c r="K855" s="7" t="str">
        <f t="shared" si="2"/>
        <v>#N/A</v>
      </c>
    </row>
    <row r="856">
      <c r="C856" s="6" t="str">
        <f t="shared" si="1"/>
        <v/>
      </c>
      <c r="J856" s="7" t="str">
        <f>IFERROR(__xludf.DUMMYFUNCTION("IF($C856 = """", """", IFNA(
  ROWS(
    FILTER(
      Events!$G$2:$G1000,
      Events!$B$2:$B1000 &gt;= TODAY() - 90,
      REGEXMATCH(
        "","" &amp; SUBSTITUTE(Events!$G$2:$G1000, "" "", """") &amp; "","",
        "","" &amp; SUBSTITUTE($C856, "" "", """") &amp; """&amp;",""
      )
    )
  ),
0)
)"),"")</f>
        <v/>
      </c>
      <c r="K856" s="7" t="str">
        <f t="shared" si="2"/>
        <v>#N/A</v>
      </c>
    </row>
    <row r="857">
      <c r="C857" s="6" t="str">
        <f t="shared" si="1"/>
        <v/>
      </c>
      <c r="J857" s="7" t="str">
        <f>IFERROR(__xludf.DUMMYFUNCTION("IF($C857 = """", """", IFNA(
  ROWS(
    FILTER(
      Events!$G$2:$G1000,
      Events!$B$2:$B1000 &gt;= TODAY() - 90,
      REGEXMATCH(
        "","" &amp; SUBSTITUTE(Events!$G$2:$G1000, "" "", """") &amp; "","",
        "","" &amp; SUBSTITUTE($C857, "" "", """") &amp; """&amp;",""
      )
    )
  ),
0)
)"),"")</f>
        <v/>
      </c>
      <c r="K857" s="7" t="str">
        <f t="shared" si="2"/>
        <v>#N/A</v>
      </c>
    </row>
    <row r="858">
      <c r="C858" s="6" t="str">
        <f t="shared" si="1"/>
        <v/>
      </c>
      <c r="J858" s="7" t="str">
        <f>IFERROR(__xludf.DUMMYFUNCTION("IF($C858 = """", """", IFNA(
  ROWS(
    FILTER(
      Events!$G$2:$G1000,
      Events!$B$2:$B1000 &gt;= TODAY() - 90,
      REGEXMATCH(
        "","" &amp; SUBSTITUTE(Events!$G$2:$G1000, "" "", """") &amp; "","",
        "","" &amp; SUBSTITUTE($C858, "" "", """") &amp; """&amp;",""
      )
    )
  ),
0)
)"),"")</f>
        <v/>
      </c>
      <c r="K858" s="7" t="str">
        <f t="shared" si="2"/>
        <v>#N/A</v>
      </c>
    </row>
    <row r="859">
      <c r="C859" s="6" t="str">
        <f t="shared" si="1"/>
        <v/>
      </c>
      <c r="J859" s="7" t="str">
        <f>IFERROR(__xludf.DUMMYFUNCTION("IF($C859 = """", """", IFNA(
  ROWS(
    FILTER(
      Events!$G$2:$G1000,
      Events!$B$2:$B1000 &gt;= TODAY() - 90,
      REGEXMATCH(
        "","" &amp; SUBSTITUTE(Events!$G$2:$G1000, "" "", """") &amp; "","",
        "","" &amp; SUBSTITUTE($C859, "" "", """") &amp; """&amp;",""
      )
    )
  ),
0)
)"),"")</f>
        <v/>
      </c>
      <c r="K859" s="7" t="str">
        <f t="shared" si="2"/>
        <v>#N/A</v>
      </c>
    </row>
    <row r="860">
      <c r="C860" s="6" t="str">
        <f t="shared" si="1"/>
        <v/>
      </c>
      <c r="J860" s="7" t="str">
        <f>IFERROR(__xludf.DUMMYFUNCTION("IF($C860 = """", """", IFNA(
  ROWS(
    FILTER(
      Events!$G$2:$G1000,
      Events!$B$2:$B1000 &gt;= TODAY() - 90,
      REGEXMATCH(
        "","" &amp; SUBSTITUTE(Events!$G$2:$G1000, "" "", """") &amp; "","",
        "","" &amp; SUBSTITUTE($C860, "" "", """") &amp; """&amp;",""
      )
    )
  ),
0)
)"),"")</f>
        <v/>
      </c>
      <c r="K860" s="7" t="str">
        <f t="shared" si="2"/>
        <v>#N/A</v>
      </c>
    </row>
    <row r="861">
      <c r="C861" s="6" t="str">
        <f t="shared" si="1"/>
        <v/>
      </c>
      <c r="J861" s="7" t="str">
        <f>IFERROR(__xludf.DUMMYFUNCTION("IF($C861 = """", """", IFNA(
  ROWS(
    FILTER(
      Events!$G$2:$G1000,
      Events!$B$2:$B1000 &gt;= TODAY() - 90,
      REGEXMATCH(
        "","" &amp; SUBSTITUTE(Events!$G$2:$G1000, "" "", """") &amp; "","",
        "","" &amp; SUBSTITUTE($C861, "" "", """") &amp; """&amp;",""
      )
    )
  ),
0)
)"),"")</f>
        <v/>
      </c>
      <c r="K861" s="7" t="str">
        <f t="shared" si="2"/>
        <v>#N/A</v>
      </c>
    </row>
    <row r="862">
      <c r="C862" s="6" t="str">
        <f t="shared" si="1"/>
        <v/>
      </c>
      <c r="J862" s="7" t="str">
        <f>IFERROR(__xludf.DUMMYFUNCTION("IF($C862 = """", """", IFNA(
  ROWS(
    FILTER(
      Events!$G$2:$G1000,
      Events!$B$2:$B1000 &gt;= TODAY() - 90,
      REGEXMATCH(
        "","" &amp; SUBSTITUTE(Events!$G$2:$G1000, "" "", """") &amp; "","",
        "","" &amp; SUBSTITUTE($C862, "" "", """") &amp; """&amp;",""
      )
    )
  ),
0)
)"),"")</f>
        <v/>
      </c>
      <c r="K862" s="7" t="str">
        <f t="shared" si="2"/>
        <v>#N/A</v>
      </c>
    </row>
    <row r="863">
      <c r="C863" s="6" t="str">
        <f t="shared" si="1"/>
        <v/>
      </c>
      <c r="J863" s="7" t="str">
        <f>IFERROR(__xludf.DUMMYFUNCTION("IF($C863 = """", """", IFNA(
  ROWS(
    FILTER(
      Events!$G$2:$G1000,
      Events!$B$2:$B1000 &gt;= TODAY() - 90,
      REGEXMATCH(
        "","" &amp; SUBSTITUTE(Events!$G$2:$G1000, "" "", """") &amp; "","",
        "","" &amp; SUBSTITUTE($C863, "" "", """") &amp; """&amp;",""
      )
    )
  ),
0)
)"),"")</f>
        <v/>
      </c>
      <c r="K863" s="7" t="str">
        <f t="shared" si="2"/>
        <v>#N/A</v>
      </c>
    </row>
    <row r="864">
      <c r="C864" s="6" t="str">
        <f t="shared" si="1"/>
        <v/>
      </c>
      <c r="J864" s="7" t="str">
        <f>IFERROR(__xludf.DUMMYFUNCTION("IF($C864 = """", """", IFNA(
  ROWS(
    FILTER(
      Events!$G$2:$G1000,
      Events!$B$2:$B1000 &gt;= TODAY() - 90,
      REGEXMATCH(
        "","" &amp; SUBSTITUTE(Events!$G$2:$G1000, "" "", """") &amp; "","",
        "","" &amp; SUBSTITUTE($C864, "" "", """") &amp; """&amp;",""
      )
    )
  ),
0)
)"),"")</f>
        <v/>
      </c>
      <c r="K864" s="7" t="str">
        <f t="shared" si="2"/>
        <v>#N/A</v>
      </c>
    </row>
    <row r="865">
      <c r="C865" s="6" t="str">
        <f t="shared" si="1"/>
        <v/>
      </c>
      <c r="J865" s="7" t="str">
        <f>IFERROR(__xludf.DUMMYFUNCTION("IF($C865 = """", """", IFNA(
  ROWS(
    FILTER(
      Events!$G$2:$G1000,
      Events!$B$2:$B1000 &gt;= TODAY() - 90,
      REGEXMATCH(
        "","" &amp; SUBSTITUTE(Events!$G$2:$G1000, "" "", """") &amp; "","",
        "","" &amp; SUBSTITUTE($C865, "" "", """") &amp; """&amp;",""
      )
    )
  ),
0)
)"),"")</f>
        <v/>
      </c>
      <c r="K865" s="7" t="str">
        <f t="shared" si="2"/>
        <v>#N/A</v>
      </c>
    </row>
    <row r="866">
      <c r="C866" s="6" t="str">
        <f t="shared" si="1"/>
        <v/>
      </c>
      <c r="J866" s="7" t="str">
        <f>IFERROR(__xludf.DUMMYFUNCTION("IF($C866 = """", """", IFNA(
  ROWS(
    FILTER(
      Events!$G$2:$G1000,
      Events!$B$2:$B1000 &gt;= TODAY() - 90,
      REGEXMATCH(
        "","" &amp; SUBSTITUTE(Events!$G$2:$G1000, "" "", """") &amp; "","",
        "","" &amp; SUBSTITUTE($C866, "" "", """") &amp; """&amp;",""
      )
    )
  ),
0)
)"),"")</f>
        <v/>
      </c>
      <c r="K866" s="7" t="str">
        <f t="shared" si="2"/>
        <v>#N/A</v>
      </c>
    </row>
    <row r="867">
      <c r="C867" s="6" t="str">
        <f t="shared" si="1"/>
        <v/>
      </c>
      <c r="J867" s="7" t="str">
        <f>IFERROR(__xludf.DUMMYFUNCTION("IF($C867 = """", """", IFNA(
  ROWS(
    FILTER(
      Events!$G$2:$G1000,
      Events!$B$2:$B1000 &gt;= TODAY() - 90,
      REGEXMATCH(
        "","" &amp; SUBSTITUTE(Events!$G$2:$G1000, "" "", """") &amp; "","",
        "","" &amp; SUBSTITUTE($C867, "" "", """") &amp; """&amp;",""
      )
    )
  ),
0)
)"),"")</f>
        <v/>
      </c>
      <c r="K867" s="7" t="str">
        <f t="shared" si="2"/>
        <v>#N/A</v>
      </c>
    </row>
    <row r="868">
      <c r="C868" s="6" t="str">
        <f t="shared" si="1"/>
        <v/>
      </c>
      <c r="J868" s="7" t="str">
        <f>IFERROR(__xludf.DUMMYFUNCTION("IF($C868 = """", """", IFNA(
  ROWS(
    FILTER(
      Events!$G$2:$G1000,
      Events!$B$2:$B1000 &gt;= TODAY() - 90,
      REGEXMATCH(
        "","" &amp; SUBSTITUTE(Events!$G$2:$G1000, "" "", """") &amp; "","",
        "","" &amp; SUBSTITUTE($C868, "" "", """") &amp; """&amp;",""
      )
    )
  ),
0)
)"),"")</f>
        <v/>
      </c>
      <c r="K868" s="7" t="str">
        <f t="shared" si="2"/>
        <v>#N/A</v>
      </c>
    </row>
    <row r="869">
      <c r="C869" s="6" t="str">
        <f t="shared" si="1"/>
        <v/>
      </c>
      <c r="J869" s="7" t="str">
        <f>IFERROR(__xludf.DUMMYFUNCTION("IF($C869 = """", """", IFNA(
  ROWS(
    FILTER(
      Events!$G$2:$G1000,
      Events!$B$2:$B1000 &gt;= TODAY() - 90,
      REGEXMATCH(
        "","" &amp; SUBSTITUTE(Events!$G$2:$G1000, "" "", """") &amp; "","",
        "","" &amp; SUBSTITUTE($C869, "" "", """") &amp; """&amp;",""
      )
    )
  ),
0)
)"),"")</f>
        <v/>
      </c>
      <c r="K869" s="7" t="str">
        <f t="shared" si="2"/>
        <v>#N/A</v>
      </c>
    </row>
    <row r="870">
      <c r="C870" s="6" t="str">
        <f t="shared" si="1"/>
        <v/>
      </c>
      <c r="J870" s="7" t="str">
        <f>IFERROR(__xludf.DUMMYFUNCTION("IF($C870 = """", """", IFNA(
  ROWS(
    FILTER(
      Events!$G$2:$G1000,
      Events!$B$2:$B1000 &gt;= TODAY() - 90,
      REGEXMATCH(
        "","" &amp; SUBSTITUTE(Events!$G$2:$G1000, "" "", """") &amp; "","",
        "","" &amp; SUBSTITUTE($C870, "" "", """") &amp; """&amp;",""
      )
    )
  ),
0)
)"),"")</f>
        <v/>
      </c>
      <c r="K870" s="7" t="str">
        <f t="shared" si="2"/>
        <v>#N/A</v>
      </c>
    </row>
    <row r="871">
      <c r="C871" s="6" t="str">
        <f t="shared" si="1"/>
        <v/>
      </c>
      <c r="J871" s="7" t="str">
        <f>IFERROR(__xludf.DUMMYFUNCTION("IF($C871 = """", """", IFNA(
  ROWS(
    FILTER(
      Events!$G$2:$G1000,
      Events!$B$2:$B1000 &gt;= TODAY() - 90,
      REGEXMATCH(
        "","" &amp; SUBSTITUTE(Events!$G$2:$G1000, "" "", """") &amp; "","",
        "","" &amp; SUBSTITUTE($C871, "" "", """") &amp; """&amp;",""
      )
    )
  ),
0)
)"),"")</f>
        <v/>
      </c>
      <c r="K871" s="7" t="str">
        <f t="shared" si="2"/>
        <v>#N/A</v>
      </c>
    </row>
    <row r="872">
      <c r="C872" s="6" t="str">
        <f t="shared" si="1"/>
        <v/>
      </c>
      <c r="J872" s="7" t="str">
        <f>IFERROR(__xludf.DUMMYFUNCTION("IF($C872 = """", """", IFNA(
  ROWS(
    FILTER(
      Events!$G$2:$G1000,
      Events!$B$2:$B1000 &gt;= TODAY() - 90,
      REGEXMATCH(
        "","" &amp; SUBSTITUTE(Events!$G$2:$G1000, "" "", """") &amp; "","",
        "","" &amp; SUBSTITUTE($C872, "" "", """") &amp; """&amp;",""
      )
    )
  ),
0)
)"),"")</f>
        <v/>
      </c>
      <c r="K872" s="7" t="str">
        <f t="shared" si="2"/>
        <v>#N/A</v>
      </c>
    </row>
    <row r="873">
      <c r="C873" s="6" t="str">
        <f t="shared" si="1"/>
        <v/>
      </c>
      <c r="J873" s="7" t="str">
        <f>IFERROR(__xludf.DUMMYFUNCTION("IF($C873 = """", """", IFNA(
  ROWS(
    FILTER(
      Events!$G$2:$G1000,
      Events!$B$2:$B1000 &gt;= TODAY() - 90,
      REGEXMATCH(
        "","" &amp; SUBSTITUTE(Events!$G$2:$G1000, "" "", """") &amp; "","",
        "","" &amp; SUBSTITUTE($C873, "" "", """") &amp; """&amp;",""
      )
    )
  ),
0)
)"),"")</f>
        <v/>
      </c>
      <c r="K873" s="7" t="str">
        <f t="shared" si="2"/>
        <v>#N/A</v>
      </c>
    </row>
    <row r="874">
      <c r="C874" s="6" t="str">
        <f t="shared" si="1"/>
        <v/>
      </c>
      <c r="J874" s="7" t="str">
        <f>IFERROR(__xludf.DUMMYFUNCTION("IF($C874 = """", """", IFNA(
  ROWS(
    FILTER(
      Events!$G$2:$G1000,
      Events!$B$2:$B1000 &gt;= TODAY() - 90,
      REGEXMATCH(
        "","" &amp; SUBSTITUTE(Events!$G$2:$G1000, "" "", """") &amp; "","",
        "","" &amp; SUBSTITUTE($C874, "" "", """") &amp; """&amp;",""
      )
    )
  ),
0)
)"),"")</f>
        <v/>
      </c>
      <c r="K874" s="7" t="str">
        <f t="shared" si="2"/>
        <v>#N/A</v>
      </c>
    </row>
    <row r="875">
      <c r="C875" s="6" t="str">
        <f t="shared" si="1"/>
        <v/>
      </c>
      <c r="J875" s="7" t="str">
        <f>IFERROR(__xludf.DUMMYFUNCTION("IF($C875 = """", """", IFNA(
  ROWS(
    FILTER(
      Events!$G$2:$G1000,
      Events!$B$2:$B1000 &gt;= TODAY() - 90,
      REGEXMATCH(
        "","" &amp; SUBSTITUTE(Events!$G$2:$G1000, "" "", """") &amp; "","",
        "","" &amp; SUBSTITUTE($C875, "" "", """") &amp; """&amp;",""
      )
    )
  ),
0)
)"),"")</f>
        <v/>
      </c>
      <c r="K875" s="7" t="str">
        <f t="shared" si="2"/>
        <v>#N/A</v>
      </c>
    </row>
    <row r="876">
      <c r="C876" s="6" t="str">
        <f t="shared" si="1"/>
        <v/>
      </c>
      <c r="J876" s="7" t="str">
        <f>IFERROR(__xludf.DUMMYFUNCTION("IF($C876 = """", """", IFNA(
  ROWS(
    FILTER(
      Events!$G$2:$G1000,
      Events!$B$2:$B1000 &gt;= TODAY() - 90,
      REGEXMATCH(
        "","" &amp; SUBSTITUTE(Events!$G$2:$G1000, "" "", """") &amp; "","",
        "","" &amp; SUBSTITUTE($C876, "" "", """") &amp; """&amp;",""
      )
    )
  ),
0)
)"),"")</f>
        <v/>
      </c>
      <c r="K876" s="7" t="str">
        <f t="shared" si="2"/>
        <v>#N/A</v>
      </c>
    </row>
    <row r="877">
      <c r="C877" s="6" t="str">
        <f t="shared" si="1"/>
        <v/>
      </c>
      <c r="J877" s="7" t="str">
        <f>IFERROR(__xludf.DUMMYFUNCTION("IF($C877 = """", """", IFNA(
  ROWS(
    FILTER(
      Events!$G$2:$G1000,
      Events!$B$2:$B1000 &gt;= TODAY() - 90,
      REGEXMATCH(
        "","" &amp; SUBSTITUTE(Events!$G$2:$G1000, "" "", """") &amp; "","",
        "","" &amp; SUBSTITUTE($C877, "" "", """") &amp; """&amp;",""
      )
    )
  ),
0)
)"),"")</f>
        <v/>
      </c>
      <c r="K877" s="7" t="str">
        <f t="shared" si="2"/>
        <v>#N/A</v>
      </c>
    </row>
    <row r="878">
      <c r="C878" s="6" t="str">
        <f t="shared" si="1"/>
        <v/>
      </c>
      <c r="J878" s="7" t="str">
        <f>IFERROR(__xludf.DUMMYFUNCTION("IF($C878 = """", """", IFNA(
  ROWS(
    FILTER(
      Events!$G$2:$G1000,
      Events!$B$2:$B1000 &gt;= TODAY() - 90,
      REGEXMATCH(
        "","" &amp; SUBSTITUTE(Events!$G$2:$G1000, "" "", """") &amp; "","",
        "","" &amp; SUBSTITUTE($C878, "" "", """") &amp; """&amp;",""
      )
    )
  ),
0)
)"),"")</f>
        <v/>
      </c>
      <c r="K878" s="7" t="str">
        <f t="shared" si="2"/>
        <v>#N/A</v>
      </c>
    </row>
    <row r="879">
      <c r="C879" s="6" t="str">
        <f t="shared" si="1"/>
        <v/>
      </c>
      <c r="J879" s="7" t="str">
        <f>IFERROR(__xludf.DUMMYFUNCTION("IF($C879 = """", """", IFNA(
  ROWS(
    FILTER(
      Events!$G$2:$G1000,
      Events!$B$2:$B1000 &gt;= TODAY() - 90,
      REGEXMATCH(
        "","" &amp; SUBSTITUTE(Events!$G$2:$G1000, "" "", """") &amp; "","",
        "","" &amp; SUBSTITUTE($C879, "" "", """") &amp; """&amp;",""
      )
    )
  ),
0)
)"),"")</f>
        <v/>
      </c>
      <c r="K879" s="7" t="str">
        <f t="shared" si="2"/>
        <v>#N/A</v>
      </c>
    </row>
    <row r="880">
      <c r="C880" s="6" t="str">
        <f t="shared" si="1"/>
        <v/>
      </c>
      <c r="J880" s="7" t="str">
        <f>IFERROR(__xludf.DUMMYFUNCTION("IF($C880 = """", """", IFNA(
  ROWS(
    FILTER(
      Events!$G$2:$G1000,
      Events!$B$2:$B1000 &gt;= TODAY() - 90,
      REGEXMATCH(
        "","" &amp; SUBSTITUTE(Events!$G$2:$G1000, "" "", """") &amp; "","",
        "","" &amp; SUBSTITUTE($C880, "" "", """") &amp; """&amp;",""
      )
    )
  ),
0)
)"),"")</f>
        <v/>
      </c>
      <c r="K880" s="7" t="str">
        <f t="shared" si="2"/>
        <v>#N/A</v>
      </c>
    </row>
    <row r="881">
      <c r="C881" s="6" t="str">
        <f t="shared" si="1"/>
        <v/>
      </c>
      <c r="J881" s="7" t="str">
        <f>IFERROR(__xludf.DUMMYFUNCTION("IF($C881 = """", """", IFNA(
  ROWS(
    FILTER(
      Events!$G$2:$G1000,
      Events!$B$2:$B1000 &gt;= TODAY() - 90,
      REGEXMATCH(
        "","" &amp; SUBSTITUTE(Events!$G$2:$G1000, "" "", """") &amp; "","",
        "","" &amp; SUBSTITUTE($C881, "" "", """") &amp; """&amp;",""
      )
    )
  ),
0)
)"),"")</f>
        <v/>
      </c>
      <c r="K881" s="7" t="str">
        <f t="shared" si="2"/>
        <v>#N/A</v>
      </c>
    </row>
    <row r="882">
      <c r="C882" s="6" t="str">
        <f t="shared" si="1"/>
        <v/>
      </c>
      <c r="J882" s="7" t="str">
        <f>IFERROR(__xludf.DUMMYFUNCTION("IF($C882 = """", """", IFNA(
  ROWS(
    FILTER(
      Events!$G$2:$G1000,
      Events!$B$2:$B1000 &gt;= TODAY() - 90,
      REGEXMATCH(
        "","" &amp; SUBSTITUTE(Events!$G$2:$G1000, "" "", """") &amp; "","",
        "","" &amp; SUBSTITUTE($C882, "" "", """") &amp; """&amp;",""
      )
    )
  ),
0)
)"),"")</f>
        <v/>
      </c>
      <c r="K882" s="7" t="str">
        <f t="shared" si="2"/>
        <v>#N/A</v>
      </c>
    </row>
    <row r="883">
      <c r="C883" s="6" t="str">
        <f t="shared" si="1"/>
        <v/>
      </c>
      <c r="J883" s="7" t="str">
        <f>IFERROR(__xludf.DUMMYFUNCTION("IF($C883 = """", """", IFNA(
  ROWS(
    FILTER(
      Events!$G$2:$G1000,
      Events!$B$2:$B1000 &gt;= TODAY() - 90,
      REGEXMATCH(
        "","" &amp; SUBSTITUTE(Events!$G$2:$G1000, "" "", """") &amp; "","",
        "","" &amp; SUBSTITUTE($C883, "" "", """") &amp; """&amp;",""
      )
    )
  ),
0)
)"),"")</f>
        <v/>
      </c>
      <c r="K883" s="7" t="str">
        <f t="shared" si="2"/>
        <v>#N/A</v>
      </c>
    </row>
    <row r="884">
      <c r="C884" s="6" t="str">
        <f t="shared" si="1"/>
        <v/>
      </c>
      <c r="J884" s="7" t="str">
        <f>IFERROR(__xludf.DUMMYFUNCTION("IF($C884 = """", """", IFNA(
  ROWS(
    FILTER(
      Events!$G$2:$G1000,
      Events!$B$2:$B1000 &gt;= TODAY() - 90,
      REGEXMATCH(
        "","" &amp; SUBSTITUTE(Events!$G$2:$G1000, "" "", """") &amp; "","",
        "","" &amp; SUBSTITUTE($C884, "" "", """") &amp; """&amp;",""
      )
    )
  ),
0)
)"),"")</f>
        <v/>
      </c>
      <c r="K884" s="7" t="str">
        <f t="shared" si="2"/>
        <v>#N/A</v>
      </c>
    </row>
    <row r="885">
      <c r="C885" s="6" t="str">
        <f t="shared" si="1"/>
        <v/>
      </c>
      <c r="J885" s="7" t="str">
        <f>IFERROR(__xludf.DUMMYFUNCTION("IF($C885 = """", """", IFNA(
  ROWS(
    FILTER(
      Events!$G$2:$G1000,
      Events!$B$2:$B1000 &gt;= TODAY() - 90,
      REGEXMATCH(
        "","" &amp; SUBSTITUTE(Events!$G$2:$G1000, "" "", """") &amp; "","",
        "","" &amp; SUBSTITUTE($C885, "" "", """") &amp; """&amp;",""
      )
    )
  ),
0)
)"),"")</f>
        <v/>
      </c>
      <c r="K885" s="7" t="str">
        <f t="shared" si="2"/>
        <v>#N/A</v>
      </c>
    </row>
    <row r="886">
      <c r="C886" s="6" t="str">
        <f t="shared" si="1"/>
        <v/>
      </c>
      <c r="J886" s="7" t="str">
        <f>IFERROR(__xludf.DUMMYFUNCTION("IF($C886 = """", """", IFNA(
  ROWS(
    FILTER(
      Events!$G$2:$G1000,
      Events!$B$2:$B1000 &gt;= TODAY() - 90,
      REGEXMATCH(
        "","" &amp; SUBSTITUTE(Events!$G$2:$G1000, "" "", """") &amp; "","",
        "","" &amp; SUBSTITUTE($C886, "" "", """") &amp; """&amp;",""
      )
    )
  ),
0)
)"),"")</f>
        <v/>
      </c>
      <c r="K886" s="7" t="str">
        <f t="shared" si="2"/>
        <v>#N/A</v>
      </c>
    </row>
    <row r="887">
      <c r="C887" s="6" t="str">
        <f t="shared" si="1"/>
        <v/>
      </c>
      <c r="J887" s="7" t="str">
        <f>IFERROR(__xludf.DUMMYFUNCTION("IF($C887 = """", """", IFNA(
  ROWS(
    FILTER(
      Events!$G$2:$G1000,
      Events!$B$2:$B1000 &gt;= TODAY() - 90,
      REGEXMATCH(
        "","" &amp; SUBSTITUTE(Events!$G$2:$G1000, "" "", """") &amp; "","",
        "","" &amp; SUBSTITUTE($C887, "" "", """") &amp; """&amp;",""
      )
    )
  ),
0)
)"),"")</f>
        <v/>
      </c>
      <c r="K887" s="7" t="str">
        <f t="shared" si="2"/>
        <v>#N/A</v>
      </c>
    </row>
    <row r="888">
      <c r="C888" s="6" t="str">
        <f t="shared" si="1"/>
        <v/>
      </c>
      <c r="J888" s="7" t="str">
        <f>IFERROR(__xludf.DUMMYFUNCTION("IF($C888 = """", """", IFNA(
  ROWS(
    FILTER(
      Events!$G$2:$G1000,
      Events!$B$2:$B1000 &gt;= TODAY() - 90,
      REGEXMATCH(
        "","" &amp; SUBSTITUTE(Events!$G$2:$G1000, "" "", """") &amp; "","",
        "","" &amp; SUBSTITUTE($C888, "" "", """") &amp; """&amp;",""
      )
    )
  ),
0)
)"),"")</f>
        <v/>
      </c>
      <c r="K888" s="7" t="str">
        <f t="shared" si="2"/>
        <v>#N/A</v>
      </c>
    </row>
    <row r="889">
      <c r="C889" s="6" t="str">
        <f t="shared" si="1"/>
        <v/>
      </c>
      <c r="J889" s="7" t="str">
        <f>IFERROR(__xludf.DUMMYFUNCTION("IF($C889 = """", """", IFNA(
  ROWS(
    FILTER(
      Events!$G$2:$G1000,
      Events!$B$2:$B1000 &gt;= TODAY() - 90,
      REGEXMATCH(
        "","" &amp; SUBSTITUTE(Events!$G$2:$G1000, "" "", """") &amp; "","",
        "","" &amp; SUBSTITUTE($C889, "" "", """") &amp; """&amp;",""
      )
    )
  ),
0)
)"),"")</f>
        <v/>
      </c>
      <c r="K889" s="7" t="str">
        <f t="shared" si="2"/>
        <v>#N/A</v>
      </c>
    </row>
    <row r="890">
      <c r="C890" s="6" t="str">
        <f t="shared" si="1"/>
        <v/>
      </c>
      <c r="J890" s="7" t="str">
        <f>IFERROR(__xludf.DUMMYFUNCTION("IF($C890 = """", """", IFNA(
  ROWS(
    FILTER(
      Events!$G$2:$G1000,
      Events!$B$2:$B1000 &gt;= TODAY() - 90,
      REGEXMATCH(
        "","" &amp; SUBSTITUTE(Events!$G$2:$G1000, "" "", """") &amp; "","",
        "","" &amp; SUBSTITUTE($C890, "" "", """") &amp; """&amp;",""
      )
    )
  ),
0)
)"),"")</f>
        <v/>
      </c>
      <c r="K890" s="7" t="str">
        <f t="shared" si="2"/>
        <v>#N/A</v>
      </c>
    </row>
    <row r="891">
      <c r="C891" s="6" t="str">
        <f t="shared" si="1"/>
        <v/>
      </c>
      <c r="J891" s="7" t="str">
        <f>IFERROR(__xludf.DUMMYFUNCTION("IF($C891 = """", """", IFNA(
  ROWS(
    FILTER(
      Events!$G$2:$G1000,
      Events!$B$2:$B1000 &gt;= TODAY() - 90,
      REGEXMATCH(
        "","" &amp; SUBSTITUTE(Events!$G$2:$G1000, "" "", """") &amp; "","",
        "","" &amp; SUBSTITUTE($C891, "" "", """") &amp; """&amp;",""
      )
    )
  ),
0)
)"),"")</f>
        <v/>
      </c>
      <c r="K891" s="7" t="str">
        <f t="shared" si="2"/>
        <v>#N/A</v>
      </c>
    </row>
    <row r="892">
      <c r="C892" s="6" t="str">
        <f t="shared" si="1"/>
        <v/>
      </c>
      <c r="J892" s="7" t="str">
        <f>IFERROR(__xludf.DUMMYFUNCTION("IF($C892 = """", """", IFNA(
  ROWS(
    FILTER(
      Events!$G$2:$G1000,
      Events!$B$2:$B1000 &gt;= TODAY() - 90,
      REGEXMATCH(
        "","" &amp; SUBSTITUTE(Events!$G$2:$G1000, "" "", """") &amp; "","",
        "","" &amp; SUBSTITUTE($C892, "" "", """") &amp; """&amp;",""
      )
    )
  ),
0)
)"),"")</f>
        <v/>
      </c>
      <c r="K892" s="7" t="str">
        <f t="shared" si="2"/>
        <v>#N/A</v>
      </c>
    </row>
    <row r="893">
      <c r="C893" s="6" t="str">
        <f t="shared" si="1"/>
        <v/>
      </c>
      <c r="J893" s="7" t="str">
        <f>IFERROR(__xludf.DUMMYFUNCTION("IF($C893 = """", """", IFNA(
  ROWS(
    FILTER(
      Events!$G$2:$G1000,
      Events!$B$2:$B1000 &gt;= TODAY() - 90,
      REGEXMATCH(
        "","" &amp; SUBSTITUTE(Events!$G$2:$G1000, "" "", """") &amp; "","",
        "","" &amp; SUBSTITUTE($C893, "" "", """") &amp; """&amp;",""
      )
    )
  ),
0)
)"),"")</f>
        <v/>
      </c>
      <c r="K893" s="7" t="str">
        <f t="shared" si="2"/>
        <v>#N/A</v>
      </c>
    </row>
    <row r="894">
      <c r="C894" s="6" t="str">
        <f t="shared" si="1"/>
        <v/>
      </c>
      <c r="J894" s="7" t="str">
        <f>IFERROR(__xludf.DUMMYFUNCTION("IF($C894 = """", """", IFNA(
  ROWS(
    FILTER(
      Events!$G$2:$G1000,
      Events!$B$2:$B1000 &gt;= TODAY() - 90,
      REGEXMATCH(
        "","" &amp; SUBSTITUTE(Events!$G$2:$G1000, "" "", """") &amp; "","",
        "","" &amp; SUBSTITUTE($C894, "" "", """") &amp; """&amp;",""
      )
    )
  ),
0)
)"),"")</f>
        <v/>
      </c>
      <c r="K894" s="7" t="str">
        <f t="shared" si="2"/>
        <v>#N/A</v>
      </c>
    </row>
    <row r="895">
      <c r="C895" s="6" t="str">
        <f t="shared" si="1"/>
        <v/>
      </c>
      <c r="J895" s="7" t="str">
        <f>IFERROR(__xludf.DUMMYFUNCTION("IF($C895 = """", """", IFNA(
  ROWS(
    FILTER(
      Events!$G$2:$G1000,
      Events!$B$2:$B1000 &gt;= TODAY() - 90,
      REGEXMATCH(
        "","" &amp; SUBSTITUTE(Events!$G$2:$G1000, "" "", """") &amp; "","",
        "","" &amp; SUBSTITUTE($C895, "" "", """") &amp; """&amp;",""
      )
    )
  ),
0)
)"),"")</f>
        <v/>
      </c>
      <c r="K895" s="7" t="str">
        <f t="shared" si="2"/>
        <v>#N/A</v>
      </c>
    </row>
    <row r="896">
      <c r="C896" s="6" t="str">
        <f t="shared" si="1"/>
        <v/>
      </c>
      <c r="J896" s="7" t="str">
        <f>IFERROR(__xludf.DUMMYFUNCTION("IF($C896 = """", """", IFNA(
  ROWS(
    FILTER(
      Events!$G$2:$G1000,
      Events!$B$2:$B1000 &gt;= TODAY() - 90,
      REGEXMATCH(
        "","" &amp; SUBSTITUTE(Events!$G$2:$G1000, "" "", """") &amp; "","",
        "","" &amp; SUBSTITUTE($C896, "" "", """") &amp; """&amp;",""
      )
    )
  ),
0)
)"),"")</f>
        <v/>
      </c>
      <c r="K896" s="7" t="str">
        <f t="shared" si="2"/>
        <v>#N/A</v>
      </c>
    </row>
    <row r="897">
      <c r="C897" s="6" t="str">
        <f t="shared" si="1"/>
        <v/>
      </c>
      <c r="J897" s="7" t="str">
        <f>IFERROR(__xludf.DUMMYFUNCTION("IF($C897 = """", """", IFNA(
  ROWS(
    FILTER(
      Events!$G$2:$G1000,
      Events!$B$2:$B1000 &gt;= TODAY() - 90,
      REGEXMATCH(
        "","" &amp; SUBSTITUTE(Events!$G$2:$G1000, "" "", """") &amp; "","",
        "","" &amp; SUBSTITUTE($C897, "" "", """") &amp; """&amp;",""
      )
    )
  ),
0)
)"),"")</f>
        <v/>
      </c>
      <c r="K897" s="7" t="str">
        <f t="shared" si="2"/>
        <v>#N/A</v>
      </c>
    </row>
    <row r="898">
      <c r="C898" s="6" t="str">
        <f t="shared" si="1"/>
        <v/>
      </c>
      <c r="J898" s="7" t="str">
        <f>IFERROR(__xludf.DUMMYFUNCTION("IF($C898 = """", """", IFNA(
  ROWS(
    FILTER(
      Events!$G$2:$G1000,
      Events!$B$2:$B1000 &gt;= TODAY() - 90,
      REGEXMATCH(
        "","" &amp; SUBSTITUTE(Events!$G$2:$G1000, "" "", """") &amp; "","",
        "","" &amp; SUBSTITUTE($C898, "" "", """") &amp; """&amp;",""
      )
    )
  ),
0)
)"),"")</f>
        <v/>
      </c>
      <c r="K898" s="7" t="str">
        <f t="shared" si="2"/>
        <v>#N/A</v>
      </c>
    </row>
    <row r="899">
      <c r="C899" s="6" t="str">
        <f t="shared" si="1"/>
        <v/>
      </c>
      <c r="J899" s="7" t="str">
        <f>IFERROR(__xludf.DUMMYFUNCTION("IF($C899 = """", """", IFNA(
  ROWS(
    FILTER(
      Events!$G$2:$G1000,
      Events!$B$2:$B1000 &gt;= TODAY() - 90,
      REGEXMATCH(
        "","" &amp; SUBSTITUTE(Events!$G$2:$G1000, "" "", """") &amp; "","",
        "","" &amp; SUBSTITUTE($C899, "" "", """") &amp; """&amp;",""
      )
    )
  ),
0)
)"),"")</f>
        <v/>
      </c>
      <c r="K899" s="7" t="str">
        <f t="shared" si="2"/>
        <v>#N/A</v>
      </c>
    </row>
    <row r="900">
      <c r="C900" s="6" t="str">
        <f t="shared" si="1"/>
        <v/>
      </c>
      <c r="J900" s="7" t="str">
        <f>IFERROR(__xludf.DUMMYFUNCTION("IF($C900 = """", """", IFNA(
  ROWS(
    FILTER(
      Events!$G$2:$G1000,
      Events!$B$2:$B1000 &gt;= TODAY() - 90,
      REGEXMATCH(
        "","" &amp; SUBSTITUTE(Events!$G$2:$G1000, "" "", """") &amp; "","",
        "","" &amp; SUBSTITUTE($C900, "" "", """") &amp; """&amp;",""
      )
    )
  ),
0)
)"),"")</f>
        <v/>
      </c>
      <c r="K900" s="7" t="str">
        <f t="shared" si="2"/>
        <v>#N/A</v>
      </c>
    </row>
    <row r="901">
      <c r="C901" s="6" t="str">
        <f t="shared" si="1"/>
        <v/>
      </c>
      <c r="J901" s="7" t="str">
        <f>IFERROR(__xludf.DUMMYFUNCTION("IF($C901 = """", """", IFNA(
  ROWS(
    FILTER(
      Events!$G$2:$G1000,
      Events!$B$2:$B1000 &gt;= TODAY() - 90,
      REGEXMATCH(
        "","" &amp; SUBSTITUTE(Events!$G$2:$G1000, "" "", """") &amp; "","",
        "","" &amp; SUBSTITUTE($C901, "" "", """") &amp; """&amp;",""
      )
    )
  ),
0)
)"),"")</f>
        <v/>
      </c>
      <c r="K901" s="7" t="str">
        <f t="shared" si="2"/>
        <v>#N/A</v>
      </c>
    </row>
    <row r="902">
      <c r="C902" s="6" t="str">
        <f t="shared" si="1"/>
        <v/>
      </c>
      <c r="J902" s="7" t="str">
        <f>IFERROR(__xludf.DUMMYFUNCTION("IF($C902 = """", """", IFNA(
  ROWS(
    FILTER(
      Events!$G$2:$G1000,
      Events!$B$2:$B1000 &gt;= TODAY() - 90,
      REGEXMATCH(
        "","" &amp; SUBSTITUTE(Events!$G$2:$G1000, "" "", """") &amp; "","",
        "","" &amp; SUBSTITUTE($C902, "" "", """") &amp; """&amp;",""
      )
    )
  ),
0)
)"),"")</f>
        <v/>
      </c>
      <c r="K902" s="7" t="str">
        <f t="shared" si="2"/>
        <v>#N/A</v>
      </c>
    </row>
    <row r="903">
      <c r="C903" s="6" t="str">
        <f t="shared" si="1"/>
        <v/>
      </c>
      <c r="J903" s="7" t="str">
        <f>IFERROR(__xludf.DUMMYFUNCTION("IF($C903 = """", """", IFNA(
  ROWS(
    FILTER(
      Events!$G$2:$G1000,
      Events!$B$2:$B1000 &gt;= TODAY() - 90,
      REGEXMATCH(
        "","" &amp; SUBSTITUTE(Events!$G$2:$G1000, "" "", """") &amp; "","",
        "","" &amp; SUBSTITUTE($C903, "" "", """") &amp; """&amp;",""
      )
    )
  ),
0)
)"),"")</f>
        <v/>
      </c>
      <c r="K903" s="7" t="str">
        <f t="shared" si="2"/>
        <v>#N/A</v>
      </c>
    </row>
    <row r="904">
      <c r="C904" s="6" t="str">
        <f t="shared" si="1"/>
        <v/>
      </c>
      <c r="J904" s="7" t="str">
        <f>IFERROR(__xludf.DUMMYFUNCTION("IF($C904 = """", """", IFNA(
  ROWS(
    FILTER(
      Events!$G$2:$G1000,
      Events!$B$2:$B1000 &gt;= TODAY() - 90,
      REGEXMATCH(
        "","" &amp; SUBSTITUTE(Events!$G$2:$G1000, "" "", """") &amp; "","",
        "","" &amp; SUBSTITUTE($C904, "" "", """") &amp; """&amp;",""
      )
    )
  ),
0)
)"),"")</f>
        <v/>
      </c>
      <c r="K904" s="7" t="str">
        <f t="shared" si="2"/>
        <v>#N/A</v>
      </c>
    </row>
    <row r="905">
      <c r="C905" s="6" t="str">
        <f t="shared" si="1"/>
        <v/>
      </c>
      <c r="J905" s="7" t="str">
        <f>IFERROR(__xludf.DUMMYFUNCTION("IF($C905 = """", """", IFNA(
  ROWS(
    FILTER(
      Events!$G$2:$G1000,
      Events!$B$2:$B1000 &gt;= TODAY() - 90,
      REGEXMATCH(
        "","" &amp; SUBSTITUTE(Events!$G$2:$G1000, "" "", """") &amp; "","",
        "","" &amp; SUBSTITUTE($C905, "" "", """") &amp; """&amp;",""
      )
    )
  ),
0)
)"),"")</f>
        <v/>
      </c>
      <c r="K905" s="7" t="str">
        <f t="shared" si="2"/>
        <v>#N/A</v>
      </c>
    </row>
    <row r="906">
      <c r="C906" s="6" t="str">
        <f t="shared" si="1"/>
        <v/>
      </c>
      <c r="J906" s="7" t="str">
        <f>IFERROR(__xludf.DUMMYFUNCTION("IF($C906 = """", """", IFNA(
  ROWS(
    FILTER(
      Events!$G$2:$G1000,
      Events!$B$2:$B1000 &gt;= TODAY() - 90,
      REGEXMATCH(
        "","" &amp; SUBSTITUTE(Events!$G$2:$G1000, "" "", """") &amp; "","",
        "","" &amp; SUBSTITUTE($C906, "" "", """") &amp; """&amp;",""
      )
    )
  ),
0)
)"),"")</f>
        <v/>
      </c>
      <c r="K906" s="7" t="str">
        <f t="shared" si="2"/>
        <v>#N/A</v>
      </c>
    </row>
    <row r="907">
      <c r="C907" s="6" t="str">
        <f t="shared" si="1"/>
        <v/>
      </c>
      <c r="J907" s="7" t="str">
        <f>IFERROR(__xludf.DUMMYFUNCTION("IF($C907 = """", """", IFNA(
  ROWS(
    FILTER(
      Events!$G$2:$G1000,
      Events!$B$2:$B1000 &gt;= TODAY() - 90,
      REGEXMATCH(
        "","" &amp; SUBSTITUTE(Events!$G$2:$G1000, "" "", """") &amp; "","",
        "","" &amp; SUBSTITUTE($C907, "" "", """") &amp; """&amp;",""
      )
    )
  ),
0)
)"),"")</f>
        <v/>
      </c>
      <c r="K907" s="7" t="str">
        <f t="shared" si="2"/>
        <v>#N/A</v>
      </c>
    </row>
    <row r="908">
      <c r="C908" s="6" t="str">
        <f t="shared" si="1"/>
        <v/>
      </c>
      <c r="J908" s="7" t="str">
        <f>IFERROR(__xludf.DUMMYFUNCTION("IF($C908 = """", """", IFNA(
  ROWS(
    FILTER(
      Events!$G$2:$G1000,
      Events!$B$2:$B1000 &gt;= TODAY() - 90,
      REGEXMATCH(
        "","" &amp; SUBSTITUTE(Events!$G$2:$G1000, "" "", """") &amp; "","",
        "","" &amp; SUBSTITUTE($C908, "" "", """") &amp; """&amp;",""
      )
    )
  ),
0)
)"),"")</f>
        <v/>
      </c>
      <c r="K908" s="7" t="str">
        <f t="shared" si="2"/>
        <v>#N/A</v>
      </c>
    </row>
    <row r="909">
      <c r="C909" s="6" t="str">
        <f t="shared" si="1"/>
        <v/>
      </c>
      <c r="J909" s="7" t="str">
        <f>IFERROR(__xludf.DUMMYFUNCTION("IF($C909 = """", """", IFNA(
  ROWS(
    FILTER(
      Events!$G$2:$G1000,
      Events!$B$2:$B1000 &gt;= TODAY() - 90,
      REGEXMATCH(
        "","" &amp; SUBSTITUTE(Events!$G$2:$G1000, "" "", """") &amp; "","",
        "","" &amp; SUBSTITUTE($C909, "" "", """") &amp; """&amp;",""
      )
    )
  ),
0)
)"),"")</f>
        <v/>
      </c>
      <c r="K909" s="7" t="str">
        <f t="shared" si="2"/>
        <v>#N/A</v>
      </c>
    </row>
    <row r="910">
      <c r="C910" s="6" t="str">
        <f t="shared" si="1"/>
        <v/>
      </c>
      <c r="J910" s="7" t="str">
        <f>IFERROR(__xludf.DUMMYFUNCTION("IF($C910 = """", """", IFNA(
  ROWS(
    FILTER(
      Events!$G$2:$G1000,
      Events!$B$2:$B1000 &gt;= TODAY() - 90,
      REGEXMATCH(
        "","" &amp; SUBSTITUTE(Events!$G$2:$G1000, "" "", """") &amp; "","",
        "","" &amp; SUBSTITUTE($C910, "" "", """") &amp; """&amp;",""
      )
    )
  ),
0)
)"),"")</f>
        <v/>
      </c>
      <c r="K910" s="7" t="str">
        <f t="shared" si="2"/>
        <v>#N/A</v>
      </c>
    </row>
    <row r="911">
      <c r="C911" s="6" t="str">
        <f t="shared" si="1"/>
        <v/>
      </c>
      <c r="J911" s="7" t="str">
        <f>IFERROR(__xludf.DUMMYFUNCTION("IF($C911 = """", """", IFNA(
  ROWS(
    FILTER(
      Events!$G$2:$G1000,
      Events!$B$2:$B1000 &gt;= TODAY() - 90,
      REGEXMATCH(
        "","" &amp; SUBSTITUTE(Events!$G$2:$G1000, "" "", """") &amp; "","",
        "","" &amp; SUBSTITUTE($C911, "" "", """") &amp; """&amp;",""
      )
    )
  ),
0)
)"),"")</f>
        <v/>
      </c>
      <c r="K911" s="7" t="str">
        <f t="shared" si="2"/>
        <v>#N/A</v>
      </c>
    </row>
    <row r="912">
      <c r="C912" s="6" t="str">
        <f t="shared" si="1"/>
        <v/>
      </c>
      <c r="J912" s="7" t="str">
        <f>IFERROR(__xludf.DUMMYFUNCTION("IF($C912 = """", """", IFNA(
  ROWS(
    FILTER(
      Events!$G$2:$G1000,
      Events!$B$2:$B1000 &gt;= TODAY() - 90,
      REGEXMATCH(
        "","" &amp; SUBSTITUTE(Events!$G$2:$G1000, "" "", """") &amp; "","",
        "","" &amp; SUBSTITUTE($C912, "" "", """") &amp; """&amp;",""
      )
    )
  ),
0)
)"),"")</f>
        <v/>
      </c>
      <c r="K912" s="7" t="str">
        <f t="shared" si="2"/>
        <v>#N/A</v>
      </c>
    </row>
    <row r="913">
      <c r="C913" s="6" t="str">
        <f t="shared" si="1"/>
        <v/>
      </c>
      <c r="J913" s="7" t="str">
        <f>IFERROR(__xludf.DUMMYFUNCTION("IF($C913 = """", """", IFNA(
  ROWS(
    FILTER(
      Events!$G$2:$G1000,
      Events!$B$2:$B1000 &gt;= TODAY() - 90,
      REGEXMATCH(
        "","" &amp; SUBSTITUTE(Events!$G$2:$G1000, "" "", """") &amp; "","",
        "","" &amp; SUBSTITUTE($C913, "" "", """") &amp; """&amp;",""
      )
    )
  ),
0)
)"),"")</f>
        <v/>
      </c>
      <c r="K913" s="7" t="str">
        <f t="shared" si="2"/>
        <v>#N/A</v>
      </c>
    </row>
    <row r="914">
      <c r="C914" s="6" t="str">
        <f t="shared" si="1"/>
        <v/>
      </c>
      <c r="J914" s="7" t="str">
        <f>IFERROR(__xludf.DUMMYFUNCTION("IF($C914 = """", """", IFNA(
  ROWS(
    FILTER(
      Events!$G$2:$G1000,
      Events!$B$2:$B1000 &gt;= TODAY() - 90,
      REGEXMATCH(
        "","" &amp; SUBSTITUTE(Events!$G$2:$G1000, "" "", """") &amp; "","",
        "","" &amp; SUBSTITUTE($C914, "" "", """") &amp; """&amp;",""
      )
    )
  ),
0)
)"),"")</f>
        <v/>
      </c>
      <c r="K914" s="7" t="str">
        <f t="shared" si="2"/>
        <v>#N/A</v>
      </c>
    </row>
    <row r="915">
      <c r="C915" s="6" t="str">
        <f t="shared" si="1"/>
        <v/>
      </c>
      <c r="J915" s="7" t="str">
        <f>IFERROR(__xludf.DUMMYFUNCTION("IF($C915 = """", """", IFNA(
  ROWS(
    FILTER(
      Events!$G$2:$G1000,
      Events!$B$2:$B1000 &gt;= TODAY() - 90,
      REGEXMATCH(
        "","" &amp; SUBSTITUTE(Events!$G$2:$G1000, "" "", """") &amp; "","",
        "","" &amp; SUBSTITUTE($C915, "" "", """") &amp; """&amp;",""
      )
    )
  ),
0)
)"),"")</f>
        <v/>
      </c>
      <c r="K915" s="7" t="str">
        <f t="shared" si="2"/>
        <v>#N/A</v>
      </c>
    </row>
    <row r="916">
      <c r="C916" s="6" t="str">
        <f t="shared" si="1"/>
        <v/>
      </c>
      <c r="J916" s="7" t="str">
        <f>IFERROR(__xludf.DUMMYFUNCTION("IF($C916 = """", """", IFNA(
  ROWS(
    FILTER(
      Events!$G$2:$G1000,
      Events!$B$2:$B1000 &gt;= TODAY() - 90,
      REGEXMATCH(
        "","" &amp; SUBSTITUTE(Events!$G$2:$G1000, "" "", """") &amp; "","",
        "","" &amp; SUBSTITUTE($C916, "" "", """") &amp; """&amp;",""
      )
    )
  ),
0)
)"),"")</f>
        <v/>
      </c>
      <c r="K916" s="7" t="str">
        <f t="shared" si="2"/>
        <v>#N/A</v>
      </c>
    </row>
    <row r="917">
      <c r="C917" s="6" t="str">
        <f t="shared" si="1"/>
        <v/>
      </c>
      <c r="J917" s="7" t="str">
        <f>IFERROR(__xludf.DUMMYFUNCTION("IF($C917 = """", """", IFNA(
  ROWS(
    FILTER(
      Events!$G$2:$G1000,
      Events!$B$2:$B1000 &gt;= TODAY() - 90,
      REGEXMATCH(
        "","" &amp; SUBSTITUTE(Events!$G$2:$G1000, "" "", """") &amp; "","",
        "","" &amp; SUBSTITUTE($C917, "" "", """") &amp; """&amp;",""
      )
    )
  ),
0)
)"),"")</f>
        <v/>
      </c>
      <c r="K917" s="7" t="str">
        <f t="shared" si="2"/>
        <v>#N/A</v>
      </c>
    </row>
    <row r="918">
      <c r="C918" s="6" t="str">
        <f t="shared" si="1"/>
        <v/>
      </c>
      <c r="J918" s="7" t="str">
        <f>IFERROR(__xludf.DUMMYFUNCTION("IF($C918 = """", """", IFNA(
  ROWS(
    FILTER(
      Events!$G$2:$G1000,
      Events!$B$2:$B1000 &gt;= TODAY() - 90,
      REGEXMATCH(
        "","" &amp; SUBSTITUTE(Events!$G$2:$G1000, "" "", """") &amp; "","",
        "","" &amp; SUBSTITUTE($C918, "" "", """") &amp; """&amp;",""
      )
    )
  ),
0)
)"),"")</f>
        <v/>
      </c>
      <c r="K918" s="7" t="str">
        <f t="shared" si="2"/>
        <v>#N/A</v>
      </c>
    </row>
    <row r="919">
      <c r="C919" s="6" t="str">
        <f t="shared" si="1"/>
        <v/>
      </c>
      <c r="J919" s="7" t="str">
        <f>IFERROR(__xludf.DUMMYFUNCTION("IF($C919 = """", """", IFNA(
  ROWS(
    FILTER(
      Events!$G$2:$G1000,
      Events!$B$2:$B1000 &gt;= TODAY() - 90,
      REGEXMATCH(
        "","" &amp; SUBSTITUTE(Events!$G$2:$G1000, "" "", """") &amp; "","",
        "","" &amp; SUBSTITUTE($C919, "" "", """") &amp; """&amp;",""
      )
    )
  ),
0)
)"),"")</f>
        <v/>
      </c>
      <c r="K919" s="7" t="str">
        <f t="shared" si="2"/>
        <v>#N/A</v>
      </c>
    </row>
    <row r="920">
      <c r="C920" s="6" t="str">
        <f t="shared" si="1"/>
        <v/>
      </c>
      <c r="J920" s="7" t="str">
        <f>IFERROR(__xludf.DUMMYFUNCTION("IF($C920 = """", """", IFNA(
  ROWS(
    FILTER(
      Events!$G$2:$G1000,
      Events!$B$2:$B1000 &gt;= TODAY() - 90,
      REGEXMATCH(
        "","" &amp; SUBSTITUTE(Events!$G$2:$G1000, "" "", """") &amp; "","",
        "","" &amp; SUBSTITUTE($C920, "" "", """") &amp; """&amp;",""
      )
    )
  ),
0)
)"),"")</f>
        <v/>
      </c>
      <c r="K920" s="7" t="str">
        <f t="shared" si="2"/>
        <v>#N/A</v>
      </c>
    </row>
    <row r="921">
      <c r="C921" s="6" t="str">
        <f t="shared" si="1"/>
        <v/>
      </c>
      <c r="J921" s="7" t="str">
        <f>IFERROR(__xludf.DUMMYFUNCTION("IF($C921 = """", """", IFNA(
  ROWS(
    FILTER(
      Events!$G$2:$G1000,
      Events!$B$2:$B1000 &gt;= TODAY() - 90,
      REGEXMATCH(
        "","" &amp; SUBSTITUTE(Events!$G$2:$G1000, "" "", """") &amp; "","",
        "","" &amp; SUBSTITUTE($C921, "" "", """") &amp; """&amp;",""
      )
    )
  ),
0)
)"),"")</f>
        <v/>
      </c>
      <c r="K921" s="7" t="str">
        <f t="shared" si="2"/>
        <v>#N/A</v>
      </c>
    </row>
    <row r="922">
      <c r="C922" s="6" t="str">
        <f t="shared" si="1"/>
        <v/>
      </c>
      <c r="J922" s="7" t="str">
        <f>IFERROR(__xludf.DUMMYFUNCTION("IF($C922 = """", """", IFNA(
  ROWS(
    FILTER(
      Events!$G$2:$G1000,
      Events!$B$2:$B1000 &gt;= TODAY() - 90,
      REGEXMATCH(
        "","" &amp; SUBSTITUTE(Events!$G$2:$G1000, "" "", """") &amp; "","",
        "","" &amp; SUBSTITUTE($C922, "" "", """") &amp; """&amp;",""
      )
    )
  ),
0)
)"),"")</f>
        <v/>
      </c>
      <c r="K922" s="7" t="str">
        <f t="shared" si="2"/>
        <v>#N/A</v>
      </c>
    </row>
    <row r="923">
      <c r="C923" s="6" t="str">
        <f t="shared" si="1"/>
        <v/>
      </c>
      <c r="J923" s="7" t="str">
        <f>IFERROR(__xludf.DUMMYFUNCTION("IF($C923 = """", """", IFNA(
  ROWS(
    FILTER(
      Events!$G$2:$G1000,
      Events!$B$2:$B1000 &gt;= TODAY() - 90,
      REGEXMATCH(
        "","" &amp; SUBSTITUTE(Events!$G$2:$G1000, "" "", """") &amp; "","",
        "","" &amp; SUBSTITUTE($C923, "" "", """") &amp; """&amp;",""
      )
    )
  ),
0)
)"),"")</f>
        <v/>
      </c>
      <c r="K923" s="7" t="str">
        <f t="shared" si="2"/>
        <v>#N/A</v>
      </c>
    </row>
    <row r="924">
      <c r="C924" s="6" t="str">
        <f t="shared" si="1"/>
        <v/>
      </c>
      <c r="J924" s="7" t="str">
        <f>IFERROR(__xludf.DUMMYFUNCTION("IF($C924 = """", """", IFNA(
  ROWS(
    FILTER(
      Events!$G$2:$G1000,
      Events!$B$2:$B1000 &gt;= TODAY() - 90,
      REGEXMATCH(
        "","" &amp; SUBSTITUTE(Events!$G$2:$G1000, "" "", """") &amp; "","",
        "","" &amp; SUBSTITUTE($C924, "" "", """") &amp; """&amp;",""
      )
    )
  ),
0)
)"),"")</f>
        <v/>
      </c>
      <c r="K924" s="7" t="str">
        <f t="shared" si="2"/>
        <v>#N/A</v>
      </c>
    </row>
    <row r="925">
      <c r="C925" s="6" t="str">
        <f t="shared" si="1"/>
        <v/>
      </c>
      <c r="J925" s="7" t="str">
        <f>IFERROR(__xludf.DUMMYFUNCTION("IF($C925 = """", """", IFNA(
  ROWS(
    FILTER(
      Events!$G$2:$G1000,
      Events!$B$2:$B1000 &gt;= TODAY() - 90,
      REGEXMATCH(
        "","" &amp; SUBSTITUTE(Events!$G$2:$G1000, "" "", """") &amp; "","",
        "","" &amp; SUBSTITUTE($C925, "" "", """") &amp; """&amp;",""
      )
    )
  ),
0)
)"),"")</f>
        <v/>
      </c>
      <c r="K925" s="7" t="str">
        <f t="shared" si="2"/>
        <v>#N/A</v>
      </c>
    </row>
    <row r="926">
      <c r="C926" s="6" t="str">
        <f t="shared" si="1"/>
        <v/>
      </c>
      <c r="J926" s="7" t="str">
        <f>IFERROR(__xludf.DUMMYFUNCTION("IF($C926 = """", """", IFNA(
  ROWS(
    FILTER(
      Events!$G$2:$G1000,
      Events!$B$2:$B1000 &gt;= TODAY() - 90,
      REGEXMATCH(
        "","" &amp; SUBSTITUTE(Events!$G$2:$G1000, "" "", """") &amp; "","",
        "","" &amp; SUBSTITUTE($C926, "" "", """") &amp; """&amp;",""
      )
    )
  ),
0)
)"),"")</f>
        <v/>
      </c>
      <c r="K926" s="7" t="str">
        <f t="shared" si="2"/>
        <v>#N/A</v>
      </c>
    </row>
    <row r="927">
      <c r="C927" s="6" t="str">
        <f t="shared" si="1"/>
        <v/>
      </c>
      <c r="J927" s="7" t="str">
        <f>IFERROR(__xludf.DUMMYFUNCTION("IF($C927 = """", """", IFNA(
  ROWS(
    FILTER(
      Events!$G$2:$G1000,
      Events!$B$2:$B1000 &gt;= TODAY() - 90,
      REGEXMATCH(
        "","" &amp; SUBSTITUTE(Events!$G$2:$G1000, "" "", """") &amp; "","",
        "","" &amp; SUBSTITUTE($C927, "" "", """") &amp; """&amp;",""
      )
    )
  ),
0)
)"),"")</f>
        <v/>
      </c>
      <c r="K927" s="7" t="str">
        <f t="shared" si="2"/>
        <v>#N/A</v>
      </c>
    </row>
    <row r="928">
      <c r="C928" s="6" t="str">
        <f t="shared" si="1"/>
        <v/>
      </c>
      <c r="J928" s="7" t="str">
        <f>IFERROR(__xludf.DUMMYFUNCTION("IF($C928 = """", """", IFNA(
  ROWS(
    FILTER(
      Events!$G$2:$G1000,
      Events!$B$2:$B1000 &gt;= TODAY() - 90,
      REGEXMATCH(
        "","" &amp; SUBSTITUTE(Events!$G$2:$G1000, "" "", """") &amp; "","",
        "","" &amp; SUBSTITUTE($C928, "" "", """") &amp; """&amp;",""
      )
    )
  ),
0)
)"),"")</f>
        <v/>
      </c>
      <c r="K928" s="7" t="str">
        <f t="shared" si="2"/>
        <v>#N/A</v>
      </c>
    </row>
    <row r="929">
      <c r="C929" s="6" t="str">
        <f t="shared" si="1"/>
        <v/>
      </c>
      <c r="J929" s="7" t="str">
        <f>IFERROR(__xludf.DUMMYFUNCTION("IF($C929 = """", """", IFNA(
  ROWS(
    FILTER(
      Events!$G$2:$G1000,
      Events!$B$2:$B1000 &gt;= TODAY() - 90,
      REGEXMATCH(
        "","" &amp; SUBSTITUTE(Events!$G$2:$G1000, "" "", """") &amp; "","",
        "","" &amp; SUBSTITUTE($C929, "" "", """") &amp; """&amp;",""
      )
    )
  ),
0)
)"),"")</f>
        <v/>
      </c>
      <c r="K929" s="7" t="str">
        <f t="shared" si="2"/>
        <v>#N/A</v>
      </c>
    </row>
    <row r="930">
      <c r="C930" s="6" t="str">
        <f t="shared" si="1"/>
        <v/>
      </c>
      <c r="J930" s="7" t="str">
        <f>IFERROR(__xludf.DUMMYFUNCTION("IF($C930 = """", """", IFNA(
  ROWS(
    FILTER(
      Events!$G$2:$G1000,
      Events!$B$2:$B1000 &gt;= TODAY() - 90,
      REGEXMATCH(
        "","" &amp; SUBSTITUTE(Events!$G$2:$G1000, "" "", """") &amp; "","",
        "","" &amp; SUBSTITUTE($C930, "" "", """") &amp; """&amp;",""
      )
    )
  ),
0)
)"),"")</f>
        <v/>
      </c>
      <c r="K930" s="7" t="str">
        <f t="shared" si="2"/>
        <v>#N/A</v>
      </c>
    </row>
    <row r="931">
      <c r="C931" s="6" t="str">
        <f t="shared" si="1"/>
        <v/>
      </c>
      <c r="J931" s="7" t="str">
        <f>IFERROR(__xludf.DUMMYFUNCTION("IF($C931 = """", """", IFNA(
  ROWS(
    FILTER(
      Events!$G$2:$G1000,
      Events!$B$2:$B1000 &gt;= TODAY() - 90,
      REGEXMATCH(
        "","" &amp; SUBSTITUTE(Events!$G$2:$G1000, "" "", """") &amp; "","",
        "","" &amp; SUBSTITUTE($C931, "" "", """") &amp; """&amp;",""
      )
    )
  ),
0)
)"),"")</f>
        <v/>
      </c>
      <c r="K931" s="7" t="str">
        <f t="shared" si="2"/>
        <v>#N/A</v>
      </c>
    </row>
    <row r="932">
      <c r="C932" s="6" t="str">
        <f t="shared" si="1"/>
        <v/>
      </c>
      <c r="J932" s="7" t="str">
        <f>IFERROR(__xludf.DUMMYFUNCTION("IF($C932 = """", """", IFNA(
  ROWS(
    FILTER(
      Events!$G$2:$G1000,
      Events!$B$2:$B1000 &gt;= TODAY() - 90,
      REGEXMATCH(
        "","" &amp; SUBSTITUTE(Events!$G$2:$G1000, "" "", """") &amp; "","",
        "","" &amp; SUBSTITUTE($C932, "" "", """") &amp; """&amp;",""
      )
    )
  ),
0)
)"),"")</f>
        <v/>
      </c>
      <c r="K932" s="7" t="str">
        <f t="shared" si="2"/>
        <v>#N/A</v>
      </c>
    </row>
    <row r="933">
      <c r="C933" s="6" t="str">
        <f t="shared" si="1"/>
        <v/>
      </c>
      <c r="J933" s="7" t="str">
        <f>IFERROR(__xludf.DUMMYFUNCTION("IF($C933 = """", """", IFNA(
  ROWS(
    FILTER(
      Events!$G$2:$G1000,
      Events!$B$2:$B1000 &gt;= TODAY() - 90,
      REGEXMATCH(
        "","" &amp; SUBSTITUTE(Events!$G$2:$G1000, "" "", """") &amp; "","",
        "","" &amp; SUBSTITUTE($C933, "" "", """") &amp; """&amp;",""
      )
    )
  ),
0)
)"),"")</f>
        <v/>
      </c>
      <c r="K933" s="7" t="str">
        <f t="shared" si="2"/>
        <v>#N/A</v>
      </c>
    </row>
    <row r="934">
      <c r="C934" s="6" t="str">
        <f t="shared" si="1"/>
        <v/>
      </c>
      <c r="J934" s="7" t="str">
        <f>IFERROR(__xludf.DUMMYFUNCTION("IF($C934 = """", """", IFNA(
  ROWS(
    FILTER(
      Events!$G$2:$G1000,
      Events!$B$2:$B1000 &gt;= TODAY() - 90,
      REGEXMATCH(
        "","" &amp; SUBSTITUTE(Events!$G$2:$G1000, "" "", """") &amp; "","",
        "","" &amp; SUBSTITUTE($C934, "" "", """") &amp; """&amp;",""
      )
    )
  ),
0)
)"),"")</f>
        <v/>
      </c>
      <c r="K934" s="7" t="str">
        <f t="shared" si="2"/>
        <v>#N/A</v>
      </c>
    </row>
    <row r="935">
      <c r="C935" s="6" t="str">
        <f t="shared" si="1"/>
        <v/>
      </c>
      <c r="J935" s="7" t="str">
        <f>IFERROR(__xludf.DUMMYFUNCTION("IF($C935 = """", """", IFNA(
  ROWS(
    FILTER(
      Events!$G$2:$G1000,
      Events!$B$2:$B1000 &gt;= TODAY() - 90,
      REGEXMATCH(
        "","" &amp; SUBSTITUTE(Events!$G$2:$G1000, "" "", """") &amp; "","",
        "","" &amp; SUBSTITUTE($C935, "" "", """") &amp; """&amp;",""
      )
    )
  ),
0)
)"),"")</f>
        <v/>
      </c>
      <c r="K935" s="7" t="str">
        <f t="shared" si="2"/>
        <v>#N/A</v>
      </c>
    </row>
    <row r="936">
      <c r="C936" s="6" t="str">
        <f t="shared" si="1"/>
        <v/>
      </c>
      <c r="J936" s="7" t="str">
        <f>IFERROR(__xludf.DUMMYFUNCTION("IF($C936 = """", """", IFNA(
  ROWS(
    FILTER(
      Events!$G$2:$G1000,
      Events!$B$2:$B1000 &gt;= TODAY() - 90,
      REGEXMATCH(
        "","" &amp; SUBSTITUTE(Events!$G$2:$G1000, "" "", """") &amp; "","",
        "","" &amp; SUBSTITUTE($C936, "" "", """") &amp; """&amp;",""
      )
    )
  ),
0)
)"),"")</f>
        <v/>
      </c>
      <c r="K936" s="7" t="str">
        <f t="shared" si="2"/>
        <v>#N/A</v>
      </c>
    </row>
    <row r="937">
      <c r="C937" s="6" t="str">
        <f t="shared" si="1"/>
        <v/>
      </c>
      <c r="J937" s="7" t="str">
        <f>IFERROR(__xludf.DUMMYFUNCTION("IF($C937 = """", """", IFNA(
  ROWS(
    FILTER(
      Events!$G$2:$G1000,
      Events!$B$2:$B1000 &gt;= TODAY() - 90,
      REGEXMATCH(
        "","" &amp; SUBSTITUTE(Events!$G$2:$G1000, "" "", """") &amp; "","",
        "","" &amp; SUBSTITUTE($C937, "" "", """") &amp; """&amp;",""
      )
    )
  ),
0)
)"),"")</f>
        <v/>
      </c>
      <c r="K937" s="7" t="str">
        <f t="shared" si="2"/>
        <v>#N/A</v>
      </c>
    </row>
    <row r="938">
      <c r="C938" s="6" t="str">
        <f t="shared" si="1"/>
        <v/>
      </c>
      <c r="J938" s="7" t="str">
        <f>IFERROR(__xludf.DUMMYFUNCTION("IF($C938 = """", """", IFNA(
  ROWS(
    FILTER(
      Events!$G$2:$G1000,
      Events!$B$2:$B1000 &gt;= TODAY() - 90,
      REGEXMATCH(
        "","" &amp; SUBSTITUTE(Events!$G$2:$G1000, "" "", """") &amp; "","",
        "","" &amp; SUBSTITUTE($C938, "" "", """") &amp; """&amp;",""
      )
    )
  ),
0)
)"),"")</f>
        <v/>
      </c>
      <c r="K938" s="7" t="str">
        <f t="shared" si="2"/>
        <v>#N/A</v>
      </c>
    </row>
    <row r="939">
      <c r="C939" s="6" t="str">
        <f t="shared" si="1"/>
        <v/>
      </c>
      <c r="J939" s="7" t="str">
        <f>IFERROR(__xludf.DUMMYFUNCTION("IF($C939 = """", """", IFNA(
  ROWS(
    FILTER(
      Events!$G$2:$G1000,
      Events!$B$2:$B1000 &gt;= TODAY() - 90,
      REGEXMATCH(
        "","" &amp; SUBSTITUTE(Events!$G$2:$G1000, "" "", """") &amp; "","",
        "","" &amp; SUBSTITUTE($C939, "" "", """") &amp; """&amp;",""
      )
    )
  ),
0)
)"),"")</f>
        <v/>
      </c>
      <c r="K939" s="7" t="str">
        <f t="shared" si="2"/>
        <v>#N/A</v>
      </c>
    </row>
    <row r="940">
      <c r="C940" s="6" t="str">
        <f t="shared" si="1"/>
        <v/>
      </c>
      <c r="J940" s="7" t="str">
        <f>IFERROR(__xludf.DUMMYFUNCTION("IF($C940 = """", """", IFNA(
  ROWS(
    FILTER(
      Events!$G$2:$G1000,
      Events!$B$2:$B1000 &gt;= TODAY() - 90,
      REGEXMATCH(
        "","" &amp; SUBSTITUTE(Events!$G$2:$G1000, "" "", """") &amp; "","",
        "","" &amp; SUBSTITUTE($C940, "" "", """") &amp; """&amp;",""
      )
    )
  ),
0)
)"),"")</f>
        <v/>
      </c>
      <c r="K940" s="7" t="str">
        <f t="shared" si="2"/>
        <v>#N/A</v>
      </c>
    </row>
    <row r="941">
      <c r="C941" s="6" t="str">
        <f t="shared" si="1"/>
        <v/>
      </c>
      <c r="J941" s="7" t="str">
        <f>IFERROR(__xludf.DUMMYFUNCTION("IF($C941 = """", """", IFNA(
  ROWS(
    FILTER(
      Events!$G$2:$G1000,
      Events!$B$2:$B1000 &gt;= TODAY() - 90,
      REGEXMATCH(
        "","" &amp; SUBSTITUTE(Events!$G$2:$G1000, "" "", """") &amp; "","",
        "","" &amp; SUBSTITUTE($C941, "" "", """") &amp; """&amp;",""
      )
    )
  ),
0)
)"),"")</f>
        <v/>
      </c>
      <c r="K941" s="7" t="str">
        <f t="shared" si="2"/>
        <v>#N/A</v>
      </c>
    </row>
    <row r="942">
      <c r="C942" s="6" t="str">
        <f t="shared" si="1"/>
        <v/>
      </c>
      <c r="J942" s="7" t="str">
        <f>IFERROR(__xludf.DUMMYFUNCTION("IF($C942 = """", """", IFNA(
  ROWS(
    FILTER(
      Events!$G$2:$G1000,
      Events!$B$2:$B1000 &gt;= TODAY() - 90,
      REGEXMATCH(
        "","" &amp; SUBSTITUTE(Events!$G$2:$G1000, "" "", """") &amp; "","",
        "","" &amp; SUBSTITUTE($C942, "" "", """") &amp; """&amp;",""
      )
    )
  ),
0)
)"),"")</f>
        <v/>
      </c>
      <c r="K942" s="7" t="str">
        <f t="shared" si="2"/>
        <v>#N/A</v>
      </c>
    </row>
    <row r="943">
      <c r="C943" s="6" t="str">
        <f t="shared" si="1"/>
        <v/>
      </c>
      <c r="J943" s="7" t="str">
        <f>IFERROR(__xludf.DUMMYFUNCTION("IF($C943 = """", """", IFNA(
  ROWS(
    FILTER(
      Events!$G$2:$G1000,
      Events!$B$2:$B1000 &gt;= TODAY() - 90,
      REGEXMATCH(
        "","" &amp; SUBSTITUTE(Events!$G$2:$G1000, "" "", """") &amp; "","",
        "","" &amp; SUBSTITUTE($C943, "" "", """") &amp; """&amp;",""
      )
    )
  ),
0)
)"),"")</f>
        <v/>
      </c>
      <c r="K943" s="7" t="str">
        <f t="shared" si="2"/>
        <v>#N/A</v>
      </c>
    </row>
    <row r="944">
      <c r="C944" s="6" t="str">
        <f t="shared" si="1"/>
        <v/>
      </c>
      <c r="J944" s="7" t="str">
        <f>IFERROR(__xludf.DUMMYFUNCTION("IF($C944 = """", """", IFNA(
  ROWS(
    FILTER(
      Events!$G$2:$G1000,
      Events!$B$2:$B1000 &gt;= TODAY() - 90,
      REGEXMATCH(
        "","" &amp; SUBSTITUTE(Events!$G$2:$G1000, "" "", """") &amp; "","",
        "","" &amp; SUBSTITUTE($C944, "" "", """") &amp; """&amp;",""
      )
    )
  ),
0)
)"),"")</f>
        <v/>
      </c>
      <c r="K944" s="7" t="str">
        <f t="shared" si="2"/>
        <v>#N/A</v>
      </c>
    </row>
    <row r="945">
      <c r="C945" s="6" t="str">
        <f t="shared" si="1"/>
        <v/>
      </c>
      <c r="J945" s="7" t="str">
        <f>IFERROR(__xludf.DUMMYFUNCTION("IF($C945 = """", """", IFNA(
  ROWS(
    FILTER(
      Events!$G$2:$G1000,
      Events!$B$2:$B1000 &gt;= TODAY() - 90,
      REGEXMATCH(
        "","" &amp; SUBSTITUTE(Events!$G$2:$G1000, "" "", """") &amp; "","",
        "","" &amp; SUBSTITUTE($C945, "" "", """") &amp; """&amp;",""
      )
    )
  ),
0)
)"),"")</f>
        <v/>
      </c>
      <c r="K945" s="7" t="str">
        <f t="shared" si="2"/>
        <v>#N/A</v>
      </c>
    </row>
    <row r="946">
      <c r="C946" s="6" t="str">
        <f t="shared" si="1"/>
        <v/>
      </c>
      <c r="J946" s="7" t="str">
        <f>IFERROR(__xludf.DUMMYFUNCTION("IF($C946 = """", """", IFNA(
  ROWS(
    FILTER(
      Events!$G$2:$G1000,
      Events!$B$2:$B1000 &gt;= TODAY() - 90,
      REGEXMATCH(
        "","" &amp; SUBSTITUTE(Events!$G$2:$G1000, "" "", """") &amp; "","",
        "","" &amp; SUBSTITUTE($C946, "" "", """") &amp; """&amp;",""
      )
    )
  ),
0)
)"),"")</f>
        <v/>
      </c>
      <c r="K946" s="7" t="str">
        <f t="shared" si="2"/>
        <v>#N/A</v>
      </c>
    </row>
    <row r="947">
      <c r="C947" s="6" t="str">
        <f t="shared" si="1"/>
        <v/>
      </c>
      <c r="J947" s="7" t="str">
        <f>IFERROR(__xludf.DUMMYFUNCTION("IF($C947 = """", """", IFNA(
  ROWS(
    FILTER(
      Events!$G$2:$G1000,
      Events!$B$2:$B1000 &gt;= TODAY() - 90,
      REGEXMATCH(
        "","" &amp; SUBSTITUTE(Events!$G$2:$G1000, "" "", """") &amp; "","",
        "","" &amp; SUBSTITUTE($C947, "" "", """") &amp; """&amp;",""
      )
    )
  ),
0)
)"),"")</f>
        <v/>
      </c>
      <c r="K947" s="7" t="str">
        <f t="shared" si="2"/>
        <v>#N/A</v>
      </c>
    </row>
    <row r="948">
      <c r="C948" s="6" t="str">
        <f t="shared" si="1"/>
        <v/>
      </c>
      <c r="J948" s="7" t="str">
        <f>IFERROR(__xludf.DUMMYFUNCTION("IF($C948 = """", """", IFNA(
  ROWS(
    FILTER(
      Events!$G$2:$G1000,
      Events!$B$2:$B1000 &gt;= TODAY() - 90,
      REGEXMATCH(
        "","" &amp; SUBSTITUTE(Events!$G$2:$G1000, "" "", """") &amp; "","",
        "","" &amp; SUBSTITUTE($C948, "" "", """") &amp; """&amp;",""
      )
    )
  ),
0)
)"),"")</f>
        <v/>
      </c>
      <c r="K948" s="7" t="str">
        <f t="shared" si="2"/>
        <v>#N/A</v>
      </c>
    </row>
    <row r="949">
      <c r="C949" s="6" t="str">
        <f t="shared" si="1"/>
        <v/>
      </c>
      <c r="J949" s="7" t="str">
        <f>IFERROR(__xludf.DUMMYFUNCTION("IF($C949 = """", """", IFNA(
  ROWS(
    FILTER(
      Events!$G$2:$G1000,
      Events!$B$2:$B1000 &gt;= TODAY() - 90,
      REGEXMATCH(
        "","" &amp; SUBSTITUTE(Events!$G$2:$G1000, "" "", """") &amp; "","",
        "","" &amp; SUBSTITUTE($C949, "" "", """") &amp; """&amp;",""
      )
    )
  ),
0)
)"),"")</f>
        <v/>
      </c>
      <c r="K949" s="7" t="str">
        <f t="shared" si="2"/>
        <v>#N/A</v>
      </c>
    </row>
    <row r="950">
      <c r="C950" s="6" t="str">
        <f t="shared" si="1"/>
        <v/>
      </c>
      <c r="J950" s="7" t="str">
        <f>IFERROR(__xludf.DUMMYFUNCTION("IF($C950 = """", """", IFNA(
  ROWS(
    FILTER(
      Events!$G$2:$G1000,
      Events!$B$2:$B1000 &gt;= TODAY() - 90,
      REGEXMATCH(
        "","" &amp; SUBSTITUTE(Events!$G$2:$G1000, "" "", """") &amp; "","",
        "","" &amp; SUBSTITUTE($C950, "" "", """") &amp; """&amp;",""
      )
    )
  ),
0)
)"),"")</f>
        <v/>
      </c>
      <c r="K950" s="7" t="str">
        <f t="shared" si="2"/>
        <v>#N/A</v>
      </c>
    </row>
    <row r="951">
      <c r="C951" s="6" t="str">
        <f t="shared" si="1"/>
        <v/>
      </c>
      <c r="J951" s="7" t="str">
        <f>IFERROR(__xludf.DUMMYFUNCTION("IF($C951 = """", """", IFNA(
  ROWS(
    FILTER(
      Events!$G$2:$G1000,
      Events!$B$2:$B1000 &gt;= TODAY() - 90,
      REGEXMATCH(
        "","" &amp; SUBSTITUTE(Events!$G$2:$G1000, "" "", """") &amp; "","",
        "","" &amp; SUBSTITUTE($C951, "" "", """") &amp; """&amp;",""
      )
    )
  ),
0)
)"),"")</f>
        <v/>
      </c>
      <c r="K951" s="7" t="str">
        <f t="shared" si="2"/>
        <v>#N/A</v>
      </c>
    </row>
    <row r="952">
      <c r="C952" s="6" t="str">
        <f t="shared" si="1"/>
        <v/>
      </c>
      <c r="J952" s="7" t="str">
        <f>IFERROR(__xludf.DUMMYFUNCTION("IF($C952 = """", """", IFNA(
  ROWS(
    FILTER(
      Events!$G$2:$G1000,
      Events!$B$2:$B1000 &gt;= TODAY() - 90,
      REGEXMATCH(
        "","" &amp; SUBSTITUTE(Events!$G$2:$G1000, "" "", """") &amp; "","",
        "","" &amp; SUBSTITUTE($C952, "" "", """") &amp; """&amp;",""
      )
    )
  ),
0)
)"),"")</f>
        <v/>
      </c>
      <c r="K952" s="7" t="str">
        <f t="shared" si="2"/>
        <v>#N/A</v>
      </c>
    </row>
    <row r="953">
      <c r="C953" s="6" t="str">
        <f t="shared" si="1"/>
        <v/>
      </c>
      <c r="J953" s="7" t="str">
        <f>IFERROR(__xludf.DUMMYFUNCTION("IF($C953 = """", """", IFNA(
  ROWS(
    FILTER(
      Events!$G$2:$G1000,
      Events!$B$2:$B1000 &gt;= TODAY() - 90,
      REGEXMATCH(
        "","" &amp; SUBSTITUTE(Events!$G$2:$G1000, "" "", """") &amp; "","",
        "","" &amp; SUBSTITUTE($C953, "" "", """") &amp; """&amp;",""
      )
    )
  ),
0)
)"),"")</f>
        <v/>
      </c>
      <c r="K953" s="7" t="str">
        <f t="shared" si="2"/>
        <v>#N/A</v>
      </c>
    </row>
    <row r="954">
      <c r="C954" s="6" t="str">
        <f t="shared" si="1"/>
        <v/>
      </c>
      <c r="J954" s="7" t="str">
        <f>IFERROR(__xludf.DUMMYFUNCTION("IF($C954 = """", """", IFNA(
  ROWS(
    FILTER(
      Events!$G$2:$G1000,
      Events!$B$2:$B1000 &gt;= TODAY() - 90,
      REGEXMATCH(
        "","" &amp; SUBSTITUTE(Events!$G$2:$G1000, "" "", """") &amp; "","",
        "","" &amp; SUBSTITUTE($C954, "" "", """") &amp; """&amp;",""
      )
    )
  ),
0)
)"),"")</f>
        <v/>
      </c>
      <c r="K954" s="7" t="str">
        <f t="shared" si="2"/>
        <v>#N/A</v>
      </c>
    </row>
    <row r="955">
      <c r="C955" s="6" t="str">
        <f t="shared" si="1"/>
        <v/>
      </c>
      <c r="J955" s="7" t="str">
        <f>IFERROR(__xludf.DUMMYFUNCTION("IF($C955 = """", """", IFNA(
  ROWS(
    FILTER(
      Events!$G$2:$G1000,
      Events!$B$2:$B1000 &gt;= TODAY() - 90,
      REGEXMATCH(
        "","" &amp; SUBSTITUTE(Events!$G$2:$G1000, "" "", """") &amp; "","",
        "","" &amp; SUBSTITUTE($C955, "" "", """") &amp; """&amp;",""
      )
    )
  ),
0)
)"),"")</f>
        <v/>
      </c>
      <c r="K955" s="7" t="str">
        <f t="shared" si="2"/>
        <v>#N/A</v>
      </c>
    </row>
    <row r="956">
      <c r="C956" s="6" t="str">
        <f t="shared" si="1"/>
        <v/>
      </c>
      <c r="J956" s="7" t="str">
        <f>IFERROR(__xludf.DUMMYFUNCTION("IF($C956 = """", """", IFNA(
  ROWS(
    FILTER(
      Events!$G$2:$G1000,
      Events!$B$2:$B1000 &gt;= TODAY() - 90,
      REGEXMATCH(
        "","" &amp; SUBSTITUTE(Events!$G$2:$G1000, "" "", """") &amp; "","",
        "","" &amp; SUBSTITUTE($C956, "" "", """") &amp; """&amp;",""
      )
    )
  ),
0)
)"),"")</f>
        <v/>
      </c>
      <c r="K956" s="7" t="str">
        <f t="shared" si="2"/>
        <v>#N/A</v>
      </c>
    </row>
    <row r="957">
      <c r="C957" s="6" t="str">
        <f t="shared" si="1"/>
        <v/>
      </c>
      <c r="J957" s="7" t="str">
        <f>IFERROR(__xludf.DUMMYFUNCTION("IF($C957 = """", """", IFNA(
  ROWS(
    FILTER(
      Events!$G$2:$G1000,
      Events!$B$2:$B1000 &gt;= TODAY() - 90,
      REGEXMATCH(
        "","" &amp; SUBSTITUTE(Events!$G$2:$G1000, "" "", """") &amp; "","",
        "","" &amp; SUBSTITUTE($C957, "" "", """") &amp; """&amp;",""
      )
    )
  ),
0)
)"),"")</f>
        <v/>
      </c>
      <c r="K957" s="7" t="str">
        <f t="shared" si="2"/>
        <v>#N/A</v>
      </c>
    </row>
    <row r="958">
      <c r="C958" s="6" t="str">
        <f t="shared" si="1"/>
        <v/>
      </c>
      <c r="J958" s="7" t="str">
        <f>IFERROR(__xludf.DUMMYFUNCTION("IF($C958 = """", """", IFNA(
  ROWS(
    FILTER(
      Events!$G$2:$G1000,
      Events!$B$2:$B1000 &gt;= TODAY() - 90,
      REGEXMATCH(
        "","" &amp; SUBSTITUTE(Events!$G$2:$G1000, "" "", """") &amp; "","",
        "","" &amp; SUBSTITUTE($C958, "" "", """") &amp; """&amp;",""
      )
    )
  ),
0)
)"),"")</f>
        <v/>
      </c>
      <c r="K958" s="7" t="str">
        <f t="shared" si="2"/>
        <v>#N/A</v>
      </c>
    </row>
    <row r="959">
      <c r="C959" s="6" t="str">
        <f t="shared" si="1"/>
        <v/>
      </c>
      <c r="J959" s="7" t="str">
        <f>IFERROR(__xludf.DUMMYFUNCTION("IF($C959 = """", """", IFNA(
  ROWS(
    FILTER(
      Events!$G$2:$G1000,
      Events!$B$2:$B1000 &gt;= TODAY() - 90,
      REGEXMATCH(
        "","" &amp; SUBSTITUTE(Events!$G$2:$G1000, "" "", """") &amp; "","",
        "","" &amp; SUBSTITUTE($C959, "" "", """") &amp; """&amp;",""
      )
    )
  ),
0)
)"),"")</f>
        <v/>
      </c>
      <c r="K959" s="7" t="str">
        <f t="shared" si="2"/>
        <v>#N/A</v>
      </c>
    </row>
    <row r="960">
      <c r="C960" s="6" t="str">
        <f t="shared" si="1"/>
        <v/>
      </c>
      <c r="J960" s="7" t="str">
        <f>IFERROR(__xludf.DUMMYFUNCTION("IF($C960 = """", """", IFNA(
  ROWS(
    FILTER(
      Events!$G$2:$G1000,
      Events!$B$2:$B1000 &gt;= TODAY() - 90,
      REGEXMATCH(
        "","" &amp; SUBSTITUTE(Events!$G$2:$G1000, "" "", """") &amp; "","",
        "","" &amp; SUBSTITUTE($C960, "" "", """") &amp; """&amp;",""
      )
    )
  ),
0)
)"),"")</f>
        <v/>
      </c>
      <c r="K960" s="7" t="str">
        <f t="shared" si="2"/>
        <v>#N/A</v>
      </c>
    </row>
    <row r="961">
      <c r="C961" s="6" t="str">
        <f t="shared" si="1"/>
        <v/>
      </c>
      <c r="J961" s="7" t="str">
        <f>IFERROR(__xludf.DUMMYFUNCTION("IF($C961 = """", """", IFNA(
  ROWS(
    FILTER(
      Events!$G$2:$G1000,
      Events!$B$2:$B1000 &gt;= TODAY() - 90,
      REGEXMATCH(
        "","" &amp; SUBSTITUTE(Events!$G$2:$G1000, "" "", """") &amp; "","",
        "","" &amp; SUBSTITUTE($C961, "" "", """") &amp; """&amp;",""
      )
    )
  ),
0)
)"),"")</f>
        <v/>
      </c>
      <c r="K961" s="7" t="str">
        <f t="shared" si="2"/>
        <v>#N/A</v>
      </c>
    </row>
    <row r="962">
      <c r="C962" s="6" t="str">
        <f t="shared" si="1"/>
        <v/>
      </c>
      <c r="J962" s="7" t="str">
        <f>IFERROR(__xludf.DUMMYFUNCTION("IF($C962 = """", """", IFNA(
  ROWS(
    FILTER(
      Events!$G$2:$G1000,
      Events!$B$2:$B1000 &gt;= TODAY() - 90,
      REGEXMATCH(
        "","" &amp; SUBSTITUTE(Events!$G$2:$G1000, "" "", """") &amp; "","",
        "","" &amp; SUBSTITUTE($C962, "" "", """") &amp; """&amp;",""
      )
    )
  ),
0)
)"),"")</f>
        <v/>
      </c>
      <c r="K962" s="7" t="str">
        <f t="shared" si="2"/>
        <v>#N/A</v>
      </c>
    </row>
    <row r="963">
      <c r="C963" s="6" t="str">
        <f t="shared" si="1"/>
        <v/>
      </c>
      <c r="J963" s="7" t="str">
        <f>IFERROR(__xludf.DUMMYFUNCTION("IF($C963 = """", """", IFNA(
  ROWS(
    FILTER(
      Events!$G$2:$G1000,
      Events!$B$2:$B1000 &gt;= TODAY() - 90,
      REGEXMATCH(
        "","" &amp; SUBSTITUTE(Events!$G$2:$G1000, "" "", """") &amp; "","",
        "","" &amp; SUBSTITUTE($C963, "" "", """") &amp; """&amp;",""
      )
    )
  ),
0)
)"),"")</f>
        <v/>
      </c>
      <c r="K963" s="7" t="str">
        <f t="shared" si="2"/>
        <v>#N/A</v>
      </c>
    </row>
    <row r="964">
      <c r="C964" s="6" t="str">
        <f t="shared" si="1"/>
        <v/>
      </c>
      <c r="J964" s="7" t="str">
        <f>IFERROR(__xludf.DUMMYFUNCTION("IF($C964 = """", """", IFNA(
  ROWS(
    FILTER(
      Events!$G$2:$G1000,
      Events!$B$2:$B1000 &gt;= TODAY() - 90,
      REGEXMATCH(
        "","" &amp; SUBSTITUTE(Events!$G$2:$G1000, "" "", """") &amp; "","",
        "","" &amp; SUBSTITUTE($C964, "" "", """") &amp; """&amp;",""
      )
    )
  ),
0)
)"),"")</f>
        <v/>
      </c>
      <c r="K964" s="7" t="str">
        <f t="shared" si="2"/>
        <v>#N/A</v>
      </c>
    </row>
    <row r="965">
      <c r="C965" s="6" t="str">
        <f t="shared" si="1"/>
        <v/>
      </c>
      <c r="J965" s="7" t="str">
        <f>IFERROR(__xludf.DUMMYFUNCTION("IF($C965 = """", """", IFNA(
  ROWS(
    FILTER(
      Events!$G$2:$G1000,
      Events!$B$2:$B1000 &gt;= TODAY() - 90,
      REGEXMATCH(
        "","" &amp; SUBSTITUTE(Events!$G$2:$G1000, "" "", """") &amp; "","",
        "","" &amp; SUBSTITUTE($C965, "" "", """") &amp; """&amp;",""
      )
    )
  ),
0)
)"),"")</f>
        <v/>
      </c>
      <c r="K965" s="7" t="str">
        <f t="shared" si="2"/>
        <v>#N/A</v>
      </c>
    </row>
    <row r="966">
      <c r="C966" s="6" t="str">
        <f t="shared" si="1"/>
        <v/>
      </c>
      <c r="J966" s="7" t="str">
        <f>IFERROR(__xludf.DUMMYFUNCTION("IF($C966 = """", """", IFNA(
  ROWS(
    FILTER(
      Events!$G$2:$G1000,
      Events!$B$2:$B1000 &gt;= TODAY() - 90,
      REGEXMATCH(
        "","" &amp; SUBSTITUTE(Events!$G$2:$G1000, "" "", """") &amp; "","",
        "","" &amp; SUBSTITUTE($C966, "" "", """") &amp; """&amp;",""
      )
    )
  ),
0)
)"),"")</f>
        <v/>
      </c>
      <c r="K966" s="7" t="str">
        <f t="shared" si="2"/>
        <v>#N/A</v>
      </c>
    </row>
    <row r="967">
      <c r="C967" s="6" t="str">
        <f t="shared" si="1"/>
        <v/>
      </c>
      <c r="J967" s="7" t="str">
        <f>IFERROR(__xludf.DUMMYFUNCTION("IF($C967 = """", """", IFNA(
  ROWS(
    FILTER(
      Events!$G$2:$G1000,
      Events!$B$2:$B1000 &gt;= TODAY() - 90,
      REGEXMATCH(
        "","" &amp; SUBSTITUTE(Events!$G$2:$G1000, "" "", """") &amp; "","",
        "","" &amp; SUBSTITUTE($C967, "" "", """") &amp; """&amp;",""
      )
    )
  ),
0)
)"),"")</f>
        <v/>
      </c>
      <c r="K967" s="7" t="str">
        <f t="shared" si="2"/>
        <v>#N/A</v>
      </c>
    </row>
    <row r="968">
      <c r="C968" s="6" t="str">
        <f t="shared" si="1"/>
        <v/>
      </c>
      <c r="J968" s="7" t="str">
        <f>IFERROR(__xludf.DUMMYFUNCTION("IF($C968 = """", """", IFNA(
  ROWS(
    FILTER(
      Events!$G$2:$G1000,
      Events!$B$2:$B1000 &gt;= TODAY() - 90,
      REGEXMATCH(
        "","" &amp; SUBSTITUTE(Events!$G$2:$G1000, "" "", """") &amp; "","",
        "","" &amp; SUBSTITUTE($C968, "" "", """") &amp; """&amp;",""
      )
    )
  ),
0)
)"),"")</f>
        <v/>
      </c>
      <c r="K968" s="7" t="str">
        <f t="shared" si="2"/>
        <v>#N/A</v>
      </c>
    </row>
    <row r="969">
      <c r="C969" s="6" t="str">
        <f t="shared" si="1"/>
        <v/>
      </c>
      <c r="J969" s="7" t="str">
        <f>IFERROR(__xludf.DUMMYFUNCTION("IF($C969 = """", """", IFNA(
  ROWS(
    FILTER(
      Events!$G$2:$G1000,
      Events!$B$2:$B1000 &gt;= TODAY() - 90,
      REGEXMATCH(
        "","" &amp; SUBSTITUTE(Events!$G$2:$G1000, "" "", """") &amp; "","",
        "","" &amp; SUBSTITUTE($C969, "" "", """") &amp; """&amp;",""
      )
    )
  ),
0)
)"),"")</f>
        <v/>
      </c>
      <c r="K969" s="7" t="str">
        <f t="shared" si="2"/>
        <v>#N/A</v>
      </c>
    </row>
    <row r="970">
      <c r="C970" s="6" t="str">
        <f t="shared" si="1"/>
        <v/>
      </c>
      <c r="J970" s="7" t="str">
        <f>IFERROR(__xludf.DUMMYFUNCTION("IF($C970 = """", """", IFNA(
  ROWS(
    FILTER(
      Events!$G$2:$G1000,
      Events!$B$2:$B1000 &gt;= TODAY() - 90,
      REGEXMATCH(
        "","" &amp; SUBSTITUTE(Events!$G$2:$G1000, "" "", """") &amp; "","",
        "","" &amp; SUBSTITUTE($C970, "" "", """") &amp; """&amp;",""
      )
    )
  ),
0)
)"),"")</f>
        <v/>
      </c>
      <c r="K970" s="7" t="str">
        <f t="shared" si="2"/>
        <v>#N/A</v>
      </c>
    </row>
    <row r="971">
      <c r="C971" s="6" t="str">
        <f t="shared" si="1"/>
        <v/>
      </c>
      <c r="J971" s="7" t="str">
        <f>IFERROR(__xludf.DUMMYFUNCTION("IF($C971 = """", """", IFNA(
  ROWS(
    FILTER(
      Events!$G$2:$G1000,
      Events!$B$2:$B1000 &gt;= TODAY() - 90,
      REGEXMATCH(
        "","" &amp; SUBSTITUTE(Events!$G$2:$G1000, "" "", """") &amp; "","",
        "","" &amp; SUBSTITUTE($C971, "" "", """") &amp; """&amp;",""
      )
    )
  ),
0)
)"),"")</f>
        <v/>
      </c>
      <c r="K971" s="7" t="str">
        <f t="shared" si="2"/>
        <v>#N/A</v>
      </c>
    </row>
    <row r="972">
      <c r="C972" s="6" t="str">
        <f t="shared" si="1"/>
        <v/>
      </c>
      <c r="J972" s="7" t="str">
        <f>IFERROR(__xludf.DUMMYFUNCTION("IF($C972 = """", """", IFNA(
  ROWS(
    FILTER(
      Events!$G$2:$G1000,
      Events!$B$2:$B1000 &gt;= TODAY() - 90,
      REGEXMATCH(
        "","" &amp; SUBSTITUTE(Events!$G$2:$G1000, "" "", """") &amp; "","",
        "","" &amp; SUBSTITUTE($C972, "" "", """") &amp; """&amp;",""
      )
    )
  ),
0)
)"),"")</f>
        <v/>
      </c>
      <c r="K972" s="7" t="str">
        <f t="shared" si="2"/>
        <v>#N/A</v>
      </c>
    </row>
    <row r="973">
      <c r="C973" s="6" t="str">
        <f t="shared" si="1"/>
        <v/>
      </c>
      <c r="J973" s="7" t="str">
        <f>IFERROR(__xludf.DUMMYFUNCTION("IF($C973 = """", """", IFNA(
  ROWS(
    FILTER(
      Events!$G$2:$G1000,
      Events!$B$2:$B1000 &gt;= TODAY() - 90,
      REGEXMATCH(
        "","" &amp; SUBSTITUTE(Events!$G$2:$G1000, "" "", """") &amp; "","",
        "","" &amp; SUBSTITUTE($C973, "" "", """") &amp; """&amp;",""
      )
    )
  ),
0)
)"),"")</f>
        <v/>
      </c>
      <c r="K973" s="7" t="str">
        <f t="shared" si="2"/>
        <v>#N/A</v>
      </c>
    </row>
    <row r="974">
      <c r="C974" s="6" t="str">
        <f t="shared" si="1"/>
        <v/>
      </c>
      <c r="J974" s="7" t="str">
        <f>IFERROR(__xludf.DUMMYFUNCTION("IF($C974 = """", """", IFNA(
  ROWS(
    FILTER(
      Events!$G$2:$G1000,
      Events!$B$2:$B1000 &gt;= TODAY() - 90,
      REGEXMATCH(
        "","" &amp; SUBSTITUTE(Events!$G$2:$G1000, "" "", """") &amp; "","",
        "","" &amp; SUBSTITUTE($C974, "" "", """") &amp; """&amp;",""
      )
    )
  ),
0)
)"),"")</f>
        <v/>
      </c>
      <c r="K974" s="7" t="str">
        <f t="shared" si="2"/>
        <v>#N/A</v>
      </c>
    </row>
    <row r="975">
      <c r="C975" s="6" t="str">
        <f t="shared" si="1"/>
        <v/>
      </c>
      <c r="J975" s="7" t="str">
        <f>IFERROR(__xludf.DUMMYFUNCTION("IF($C975 = """", """", IFNA(
  ROWS(
    FILTER(
      Events!$G$2:$G1000,
      Events!$B$2:$B1000 &gt;= TODAY() - 90,
      REGEXMATCH(
        "","" &amp; SUBSTITUTE(Events!$G$2:$G1000, "" "", """") &amp; "","",
        "","" &amp; SUBSTITUTE($C975, "" "", """") &amp; """&amp;",""
      )
    )
  ),
0)
)"),"")</f>
        <v/>
      </c>
      <c r="K975" s="7" t="str">
        <f t="shared" si="2"/>
        <v>#N/A</v>
      </c>
    </row>
    <row r="976">
      <c r="C976" s="6" t="str">
        <f t="shared" si="1"/>
        <v/>
      </c>
      <c r="J976" s="7" t="str">
        <f>IFERROR(__xludf.DUMMYFUNCTION("IF($C976 = """", """", IFNA(
  ROWS(
    FILTER(
      Events!$G$2:$G1000,
      Events!$B$2:$B1000 &gt;= TODAY() - 90,
      REGEXMATCH(
        "","" &amp; SUBSTITUTE(Events!$G$2:$G1000, "" "", """") &amp; "","",
        "","" &amp; SUBSTITUTE($C976, "" "", """") &amp; """&amp;",""
      )
    )
  ),
0)
)"),"")</f>
        <v/>
      </c>
      <c r="K976" s="7" t="str">
        <f t="shared" si="2"/>
        <v>#N/A</v>
      </c>
    </row>
    <row r="977">
      <c r="C977" s="6" t="str">
        <f t="shared" si="1"/>
        <v/>
      </c>
      <c r="J977" s="7" t="str">
        <f>IFERROR(__xludf.DUMMYFUNCTION("IF($C977 = """", """", IFNA(
  ROWS(
    FILTER(
      Events!$G$2:$G1000,
      Events!$B$2:$B1000 &gt;= TODAY() - 90,
      REGEXMATCH(
        "","" &amp; SUBSTITUTE(Events!$G$2:$G1000, "" "", """") &amp; "","",
        "","" &amp; SUBSTITUTE($C977, "" "", """") &amp; """&amp;",""
      )
    )
  ),
0)
)"),"")</f>
        <v/>
      </c>
      <c r="K977" s="7" t="str">
        <f t="shared" si="2"/>
        <v>#N/A</v>
      </c>
    </row>
    <row r="978">
      <c r="C978" s="6" t="str">
        <f t="shared" si="1"/>
        <v/>
      </c>
      <c r="J978" s="7" t="str">
        <f>IFERROR(__xludf.DUMMYFUNCTION("IF($C978 = """", """", IFNA(
  ROWS(
    FILTER(
      Events!$G$2:$G1000,
      Events!$B$2:$B1000 &gt;= TODAY() - 90,
      REGEXMATCH(
        "","" &amp; SUBSTITUTE(Events!$G$2:$G1000, "" "", """") &amp; "","",
        "","" &amp; SUBSTITUTE($C978, "" "", """") &amp; """&amp;",""
      )
    )
  ),
0)
)"),"")</f>
        <v/>
      </c>
      <c r="K978" s="7" t="str">
        <f t="shared" si="2"/>
        <v>#N/A</v>
      </c>
    </row>
    <row r="979">
      <c r="C979" s="6" t="str">
        <f t="shared" si="1"/>
        <v/>
      </c>
      <c r="J979" s="7" t="str">
        <f>IFERROR(__xludf.DUMMYFUNCTION("IF($C979 = """", """", IFNA(
  ROWS(
    FILTER(
      Events!$G$2:$G1000,
      Events!$B$2:$B1000 &gt;= TODAY() - 90,
      REGEXMATCH(
        "","" &amp; SUBSTITUTE(Events!$G$2:$G1000, "" "", """") &amp; "","",
        "","" &amp; SUBSTITUTE($C979, "" "", """") &amp; """&amp;",""
      )
    )
  ),
0)
)"),"")</f>
        <v/>
      </c>
      <c r="K979" s="7" t="str">
        <f t="shared" si="2"/>
        <v>#N/A</v>
      </c>
    </row>
    <row r="980">
      <c r="C980" s="6" t="str">
        <f t="shared" si="1"/>
        <v/>
      </c>
      <c r="J980" s="7" t="str">
        <f>IFERROR(__xludf.DUMMYFUNCTION("IF($C980 = """", """", IFNA(
  ROWS(
    FILTER(
      Events!$G$2:$G1000,
      Events!$B$2:$B1000 &gt;= TODAY() - 90,
      REGEXMATCH(
        "","" &amp; SUBSTITUTE(Events!$G$2:$G1000, "" "", """") &amp; "","",
        "","" &amp; SUBSTITUTE($C980, "" "", """") &amp; """&amp;",""
      )
    )
  ),
0)
)"),"")</f>
        <v/>
      </c>
      <c r="K980" s="7" t="str">
        <f t="shared" si="2"/>
        <v>#N/A</v>
      </c>
    </row>
    <row r="981">
      <c r="C981" s="6" t="str">
        <f t="shared" si="1"/>
        <v/>
      </c>
      <c r="J981" s="7" t="str">
        <f>IFERROR(__xludf.DUMMYFUNCTION("IF($C981 = """", """", IFNA(
  ROWS(
    FILTER(
      Events!$G$2:$G1000,
      Events!$B$2:$B1000 &gt;= TODAY() - 90,
      REGEXMATCH(
        "","" &amp; SUBSTITUTE(Events!$G$2:$G1000, "" "", """") &amp; "","",
        "","" &amp; SUBSTITUTE($C981, "" "", """") &amp; """&amp;",""
      )
    )
  ),
0)
)"),"")</f>
        <v/>
      </c>
      <c r="K981" s="7" t="str">
        <f t="shared" si="2"/>
        <v>#N/A</v>
      </c>
    </row>
    <row r="982">
      <c r="C982" s="6" t="str">
        <f t="shared" si="1"/>
        <v/>
      </c>
      <c r="J982" s="7" t="str">
        <f>IFERROR(__xludf.DUMMYFUNCTION("IF($C982 = """", """", IFNA(
  ROWS(
    FILTER(
      Events!$G$2:$G1000,
      Events!$B$2:$B1000 &gt;= TODAY() - 90,
      REGEXMATCH(
        "","" &amp; SUBSTITUTE(Events!$G$2:$G1000, "" "", """") &amp; "","",
        "","" &amp; SUBSTITUTE($C982, "" "", """") &amp; """&amp;",""
      )
    )
  ),
0)
)"),"")</f>
        <v/>
      </c>
      <c r="K982" s="7" t="str">
        <f t="shared" si="2"/>
        <v>#N/A</v>
      </c>
    </row>
    <row r="983">
      <c r="C983" s="6" t="str">
        <f t="shared" si="1"/>
        <v/>
      </c>
      <c r="J983" s="7" t="str">
        <f>IFERROR(__xludf.DUMMYFUNCTION("IF($C983 = """", """", IFNA(
  ROWS(
    FILTER(
      Events!$G$2:$G1000,
      Events!$B$2:$B1000 &gt;= TODAY() - 90,
      REGEXMATCH(
        "","" &amp; SUBSTITUTE(Events!$G$2:$G1000, "" "", """") &amp; "","",
        "","" &amp; SUBSTITUTE($C983, "" "", """") &amp; """&amp;",""
      )
    )
  ),
0)
)"),"")</f>
        <v/>
      </c>
      <c r="K983" s="7" t="str">
        <f t="shared" si="2"/>
        <v>#N/A</v>
      </c>
    </row>
    <row r="984">
      <c r="C984" s="6" t="str">
        <f t="shared" si="1"/>
        <v/>
      </c>
      <c r="J984" s="7" t="str">
        <f>IFERROR(__xludf.DUMMYFUNCTION("IF($C984 = """", """", IFNA(
  ROWS(
    FILTER(
      Events!$G$2:$G1000,
      Events!$B$2:$B1000 &gt;= TODAY() - 90,
      REGEXMATCH(
        "","" &amp; SUBSTITUTE(Events!$G$2:$G1000, "" "", """") &amp; "","",
        "","" &amp; SUBSTITUTE($C984, "" "", """") &amp; """&amp;",""
      )
    )
  ),
0)
)"),"")</f>
        <v/>
      </c>
      <c r="K984" s="7" t="str">
        <f t="shared" si="2"/>
        <v>#N/A</v>
      </c>
    </row>
    <row r="985">
      <c r="C985" s="6" t="str">
        <f t="shared" si="1"/>
        <v/>
      </c>
      <c r="J985" s="7" t="str">
        <f>IFERROR(__xludf.DUMMYFUNCTION("IF($C985 = """", """", IFNA(
  ROWS(
    FILTER(
      Events!$G$2:$G1000,
      Events!$B$2:$B1000 &gt;= TODAY() - 90,
      REGEXMATCH(
        "","" &amp; SUBSTITUTE(Events!$G$2:$G1000, "" "", """") &amp; "","",
        "","" &amp; SUBSTITUTE($C985, "" "", """") &amp; """&amp;",""
      )
    )
  ),
0)
)"),"")</f>
        <v/>
      </c>
      <c r="K985" s="7" t="str">
        <f t="shared" si="2"/>
        <v>#N/A</v>
      </c>
    </row>
    <row r="986">
      <c r="C986" s="6" t="str">
        <f t="shared" si="1"/>
        <v/>
      </c>
      <c r="J986" s="7" t="str">
        <f>IFERROR(__xludf.DUMMYFUNCTION("IF($C986 = """", """", IFNA(
  ROWS(
    FILTER(
      Events!$G$2:$G1000,
      Events!$B$2:$B1000 &gt;= TODAY() - 90,
      REGEXMATCH(
        "","" &amp; SUBSTITUTE(Events!$G$2:$G1000, "" "", """") &amp; "","",
        "","" &amp; SUBSTITUTE($C986, "" "", """") &amp; """&amp;",""
      )
    )
  ),
0)
)"),"")</f>
        <v/>
      </c>
      <c r="K986" s="7" t="str">
        <f t="shared" si="2"/>
        <v>#N/A</v>
      </c>
    </row>
    <row r="987">
      <c r="C987" s="6" t="str">
        <f t="shared" si="1"/>
        <v/>
      </c>
      <c r="J987" s="7" t="str">
        <f>IFERROR(__xludf.DUMMYFUNCTION("IF($C987 = """", """", IFNA(
  ROWS(
    FILTER(
      Events!$G$2:$G1000,
      Events!$B$2:$B1000 &gt;= TODAY() - 90,
      REGEXMATCH(
        "","" &amp; SUBSTITUTE(Events!$G$2:$G1000, "" "", """") &amp; "","",
        "","" &amp; SUBSTITUTE($C987, "" "", """") &amp; """&amp;",""
      )
    )
  ),
0)
)"),"")</f>
        <v/>
      </c>
      <c r="K987" s="7" t="str">
        <f t="shared" si="2"/>
        <v>#N/A</v>
      </c>
    </row>
    <row r="988">
      <c r="C988" s="6" t="str">
        <f t="shared" si="1"/>
        <v/>
      </c>
      <c r="J988" s="7" t="str">
        <f>IFERROR(__xludf.DUMMYFUNCTION("IF($C988 = """", """", IFNA(
  ROWS(
    FILTER(
      Events!$G$2:$G1000,
      Events!$B$2:$B1000 &gt;= TODAY() - 90,
      REGEXMATCH(
        "","" &amp; SUBSTITUTE(Events!$G$2:$G1000, "" "", """") &amp; "","",
        "","" &amp; SUBSTITUTE($C988, "" "", """") &amp; """&amp;",""
      )
    )
  ),
0)
)"),"")</f>
        <v/>
      </c>
      <c r="K988" s="7" t="str">
        <f t="shared" si="2"/>
        <v>#N/A</v>
      </c>
    </row>
    <row r="989">
      <c r="C989" s="6" t="str">
        <f t="shared" si="1"/>
        <v/>
      </c>
      <c r="J989" s="7" t="str">
        <f>IFERROR(__xludf.DUMMYFUNCTION("IF($C989 = """", """", IFNA(
  ROWS(
    FILTER(
      Events!$G$2:$G1000,
      Events!$B$2:$B1000 &gt;= TODAY() - 90,
      REGEXMATCH(
        "","" &amp; SUBSTITUTE(Events!$G$2:$G1000, "" "", """") &amp; "","",
        "","" &amp; SUBSTITUTE($C989, "" "", """") &amp; """&amp;",""
      )
    )
  ),
0)
)"),"")</f>
        <v/>
      </c>
      <c r="K989" s="7" t="str">
        <f t="shared" si="2"/>
        <v>#N/A</v>
      </c>
    </row>
    <row r="990">
      <c r="C990" s="6" t="str">
        <f t="shared" si="1"/>
        <v/>
      </c>
      <c r="J990" s="7" t="str">
        <f>IFERROR(__xludf.DUMMYFUNCTION("IF($C990 = """", """", IFNA(
  ROWS(
    FILTER(
      Events!$G$2:$G1000,
      Events!$B$2:$B1000 &gt;= TODAY() - 90,
      REGEXMATCH(
        "","" &amp; SUBSTITUTE(Events!$G$2:$G1000, "" "", """") &amp; "","",
        "","" &amp; SUBSTITUTE($C990, "" "", """") &amp; """&amp;",""
      )
    )
  ),
0)
)"),"")</f>
        <v/>
      </c>
      <c r="K990" s="7" t="str">
        <f t="shared" si="2"/>
        <v>#N/A</v>
      </c>
    </row>
    <row r="991">
      <c r="C991" s="6" t="str">
        <f t="shared" si="1"/>
        <v/>
      </c>
      <c r="J991" s="7" t="str">
        <f>IFERROR(__xludf.DUMMYFUNCTION("IF($C991 = """", """", IFNA(
  ROWS(
    FILTER(
      Events!$G$2:$G1000,
      Events!$B$2:$B1000 &gt;= TODAY() - 90,
      REGEXMATCH(
        "","" &amp; SUBSTITUTE(Events!$G$2:$G1000, "" "", """") &amp; "","",
        "","" &amp; SUBSTITUTE($C991, "" "", """") &amp; """&amp;",""
      )
    )
  ),
0)
)"),"")</f>
        <v/>
      </c>
      <c r="K991" s="7" t="str">
        <f t="shared" si="2"/>
        <v>#N/A</v>
      </c>
    </row>
    <row r="992">
      <c r="C992" s="6" t="str">
        <f t="shared" si="1"/>
        <v/>
      </c>
      <c r="J992" s="7" t="str">
        <f>IFERROR(__xludf.DUMMYFUNCTION("IF($C992 = """", """", IFNA(
  ROWS(
    FILTER(
      Events!$G$2:$G1000,
      Events!$B$2:$B1000 &gt;= TODAY() - 90,
      REGEXMATCH(
        "","" &amp; SUBSTITUTE(Events!$G$2:$G1000, "" "", """") &amp; "","",
        "","" &amp; SUBSTITUTE($C992, "" "", """") &amp; """&amp;",""
      )
    )
  ),
0)
)"),"")</f>
        <v/>
      </c>
      <c r="K992" s="7" t="str">
        <f t="shared" si="2"/>
        <v>#N/A</v>
      </c>
    </row>
    <row r="993">
      <c r="C993" s="6" t="str">
        <f t="shared" si="1"/>
        <v/>
      </c>
      <c r="J993" s="7" t="str">
        <f>IFERROR(__xludf.DUMMYFUNCTION("IF($C993 = """", """", IFNA(
  ROWS(
    FILTER(
      Events!$G$2:$G1000,
      Events!$B$2:$B1000 &gt;= TODAY() - 90,
      REGEXMATCH(
        "","" &amp; SUBSTITUTE(Events!$G$2:$G1000, "" "", """") &amp; "","",
        "","" &amp; SUBSTITUTE($C993, "" "", """") &amp; """&amp;",""
      )
    )
  ),
0)
)"),"")</f>
        <v/>
      </c>
      <c r="K993" s="7" t="str">
        <f t="shared" si="2"/>
        <v>#N/A</v>
      </c>
    </row>
    <row r="994">
      <c r="C994" s="6" t="str">
        <f t="shared" si="1"/>
        <v/>
      </c>
      <c r="J994" s="7" t="str">
        <f>IFERROR(__xludf.DUMMYFUNCTION("IF($C994 = """", """", IFNA(
  ROWS(
    FILTER(
      Events!$G$2:$G1000,
      Events!$B$2:$B1000 &gt;= TODAY() - 90,
      REGEXMATCH(
        "","" &amp; SUBSTITUTE(Events!$G$2:$G1000, "" "", """") &amp; "","",
        "","" &amp; SUBSTITUTE($C994, "" "", """") &amp; """&amp;",""
      )
    )
  ),
0)
)"),"")</f>
        <v/>
      </c>
      <c r="K994" s="7" t="str">
        <f t="shared" si="2"/>
        <v>#N/A</v>
      </c>
    </row>
    <row r="995">
      <c r="C995" s="6" t="str">
        <f t="shared" si="1"/>
        <v/>
      </c>
      <c r="J995" s="7" t="str">
        <f>IFERROR(__xludf.DUMMYFUNCTION("IF($C995 = """", """", IFNA(
  ROWS(
    FILTER(
      Events!$G$2:$G1000,
      Events!$B$2:$B1000 &gt;= TODAY() - 90,
      REGEXMATCH(
        "","" &amp; SUBSTITUTE(Events!$G$2:$G1000, "" "", """") &amp; "","",
        "","" &amp; SUBSTITUTE($C995, "" "", """") &amp; """&amp;",""
      )
    )
  ),
0)
)"),"")</f>
        <v/>
      </c>
      <c r="K995" s="7" t="str">
        <f t="shared" si="2"/>
        <v>#N/A</v>
      </c>
    </row>
    <row r="996">
      <c r="C996" s="6" t="str">
        <f t="shared" si="1"/>
        <v/>
      </c>
      <c r="J996" s="7" t="str">
        <f>IFERROR(__xludf.DUMMYFUNCTION("IF($C996 = """", """", IFNA(
  ROWS(
    FILTER(
      Events!$G$2:$G1000,
      Events!$B$2:$B1000 &gt;= TODAY() - 90,
      REGEXMATCH(
        "","" &amp; SUBSTITUTE(Events!$G$2:$G1000, "" "", """") &amp; "","",
        "","" &amp; SUBSTITUTE($C996, "" "", """") &amp; """&amp;",""
      )
    )
  ),
0)
)"),"")</f>
        <v/>
      </c>
      <c r="K996" s="7" t="str">
        <f t="shared" si="2"/>
        <v>#N/A</v>
      </c>
    </row>
    <row r="997">
      <c r="C997" s="6" t="str">
        <f t="shared" si="1"/>
        <v/>
      </c>
      <c r="J997" s="7" t="str">
        <f>IFERROR(__xludf.DUMMYFUNCTION("IF($C997 = """", """", IFNA(
  ROWS(
    FILTER(
      Events!$G$2:$G1000,
      Events!$B$2:$B1000 &gt;= TODAY() - 90,
      REGEXMATCH(
        "","" &amp; SUBSTITUTE(Events!$G$2:$G1000, "" "", """") &amp; "","",
        "","" &amp; SUBSTITUTE($C997, "" "", """") &amp; """&amp;",""
      )
    )
  ),
0)
)"),"")</f>
        <v/>
      </c>
      <c r="K997" s="7" t="str">
        <f t="shared" si="2"/>
        <v>#N/A</v>
      </c>
    </row>
    <row r="998">
      <c r="C998" s="6" t="str">
        <f t="shared" si="1"/>
        <v/>
      </c>
      <c r="J998" s="7" t="str">
        <f>IFERROR(__xludf.DUMMYFUNCTION("IF($C998 = """", """", IFNA(
  ROWS(
    FILTER(
      Events!$G$2:$G1000,
      Events!$B$2:$B1000 &gt;= TODAY() - 90,
      REGEXMATCH(
        "","" &amp; SUBSTITUTE(Events!$G$2:$G1000, "" "", """") &amp; "","",
        "","" &amp; SUBSTITUTE($C998, "" "", """") &amp; """&amp;",""
      )
    )
  ),
0)
)"),"")</f>
        <v/>
      </c>
      <c r="K998" s="7" t="str">
        <f t="shared" si="2"/>
        <v>#N/A</v>
      </c>
    </row>
    <row r="999">
      <c r="C999" s="6" t="str">
        <f t="shared" si="1"/>
        <v/>
      </c>
      <c r="J999" s="7" t="str">
        <f>IFERROR(__xludf.DUMMYFUNCTION("IF($C999 = """", """", IFNA(
  ROWS(
    FILTER(
      Events!$G$2:$G1000,
      Events!$B$2:$B1000 &gt;= TODAY() - 90,
      REGEXMATCH(
        "","" &amp; SUBSTITUTE(Events!$G$2:$G1000, "" "", """") &amp; "","",
        "","" &amp; SUBSTITUTE($C999, "" "", """") &amp; """&amp;",""
      )
    )
  ),
0)
)"),"")</f>
        <v/>
      </c>
      <c r="K999" s="7" t="str">
        <f t="shared" si="2"/>
        <v>#N/A</v>
      </c>
    </row>
    <row r="1000">
      <c r="C1000" s="6" t="str">
        <f t="shared" si="1"/>
        <v/>
      </c>
      <c r="J1000" s="7" t="str">
        <f>IFERROR(__xludf.DUMMYFUNCTION("IF($C1000 = """", """", IFNA(
  ROWS(
    FILTER(
      Events!$G$2:$G1000,
      Events!$B$2:$B1000 &gt;= TODAY() - 90,
      REGEXMATCH(
        "","" &amp; SUBSTITUTE(Events!$G$2:$G1000, "" "", """") &amp; "","",
        "","" &amp; SUBSTITUTE($C1000, "" "", """") &amp; "&amp;""",""
      )
    )
  ),
0)
)"),"")</f>
        <v/>
      </c>
      <c r="K1000" s="7" t="str">
        <f t="shared" si="2"/>
        <v>#N/A</v>
      </c>
    </row>
  </sheetData>
  <conditionalFormatting sqref="K1:K1000">
    <cfRule type="cellIs" dxfId="2" priority="1" operator="equal">
      <formula>"YES"</formula>
    </cfRule>
  </conditionalFormatting>
  <conditionalFormatting sqref="K1:K1000">
    <cfRule type="cellIs" dxfId="3" priority="2" operator="equal">
      <formula>"NO"</formula>
    </cfRule>
  </conditionalFormatting>
  <conditionalFormatting sqref="K1:K1000">
    <cfRule type="cellIs" dxfId="4" priority="3" operator="equal">
      <formula>"ALUMNI"</formula>
    </cfRule>
  </conditionalFormatting>
  <dataValidations>
    <dataValidation type="list" allowBlank="1" showErrorMessage="1" sqref="I2:I4 I6:I50">
      <formula1>"Current Member,Alumni"</formula1>
    </dataValidation>
    <dataValidation type="list" allowBlank="1" showErrorMessage="1" sqref="I5">
      <formula1>"Current Member,Alumni"</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19.75"/>
    <col customWidth="1" min="3" max="3" width="18.38"/>
    <col customWidth="1" min="4" max="4" width="18.13"/>
  </cols>
  <sheetData>
    <row r="1">
      <c r="A1" s="1" t="s">
        <v>193</v>
      </c>
      <c r="B1" s="1" t="s">
        <v>128</v>
      </c>
      <c r="C1" s="1" t="s">
        <v>129</v>
      </c>
      <c r="D1" s="1" t="s">
        <v>130</v>
      </c>
      <c r="E1" s="1" t="s">
        <v>0</v>
      </c>
      <c r="F1" s="1" t="s">
        <v>1</v>
      </c>
    </row>
    <row r="2">
      <c r="A2" s="6" t="s">
        <v>194</v>
      </c>
      <c r="B2" s="6" t="s">
        <v>139</v>
      </c>
      <c r="C2" s="6" t="s">
        <v>140</v>
      </c>
      <c r="D2" s="6" t="str">
        <f t="shared" ref="D2:D12" si="1">Trim(Concatenate(B2, " ", C2))</f>
        <v>James Gardner</v>
      </c>
      <c r="E2" s="5">
        <v>45474.0</v>
      </c>
      <c r="F2" s="5">
        <v>46204.0</v>
      </c>
    </row>
    <row r="3">
      <c r="A3" s="6" t="s">
        <v>195</v>
      </c>
      <c r="B3" s="6" t="s">
        <v>142</v>
      </c>
      <c r="C3" s="6" t="s">
        <v>143</v>
      </c>
      <c r="D3" s="6" t="str">
        <f t="shared" si="1"/>
        <v>Robb Northrup</v>
      </c>
      <c r="E3" s="5">
        <v>45839.0</v>
      </c>
      <c r="F3" s="5">
        <v>46204.0</v>
      </c>
    </row>
    <row r="4">
      <c r="A4" s="6" t="s">
        <v>196</v>
      </c>
      <c r="B4" s="6" t="s">
        <v>146</v>
      </c>
      <c r="C4" s="6" t="s">
        <v>147</v>
      </c>
      <c r="D4" s="6" t="str">
        <f t="shared" si="1"/>
        <v>Zhao Yu</v>
      </c>
      <c r="E4" s="5">
        <v>45474.0</v>
      </c>
      <c r="F4" s="5">
        <v>46204.0</v>
      </c>
    </row>
    <row r="5">
      <c r="A5" s="6" t="s">
        <v>197</v>
      </c>
      <c r="B5" s="6" t="s">
        <v>149</v>
      </c>
      <c r="C5" s="6" t="s">
        <v>150</v>
      </c>
      <c r="D5" s="6" t="str">
        <f t="shared" si="1"/>
        <v>Dylan Bergsen</v>
      </c>
      <c r="E5" s="5">
        <v>45839.0</v>
      </c>
      <c r="F5" s="5">
        <v>46070.0</v>
      </c>
    </row>
    <row r="6">
      <c r="A6" s="6" t="s">
        <v>198</v>
      </c>
      <c r="B6" s="6" t="s">
        <v>152</v>
      </c>
      <c r="C6" s="6" t="s">
        <v>153</v>
      </c>
      <c r="D6" s="6" t="str">
        <f t="shared" si="1"/>
        <v>Nick Eastwood</v>
      </c>
      <c r="E6" s="5">
        <v>45839.0</v>
      </c>
      <c r="F6" s="5">
        <v>46204.0</v>
      </c>
    </row>
    <row r="7">
      <c r="A7" s="6" t="s">
        <v>199</v>
      </c>
      <c r="B7" s="6" t="s">
        <v>154</v>
      </c>
      <c r="C7" s="6" t="s">
        <v>155</v>
      </c>
      <c r="D7" s="6" t="str">
        <f t="shared" si="1"/>
        <v>PJ Duquette</v>
      </c>
      <c r="E7" s="5">
        <v>45839.0</v>
      </c>
      <c r="F7" s="5">
        <v>46204.0</v>
      </c>
    </row>
    <row r="8">
      <c r="A8" s="6" t="s">
        <v>200</v>
      </c>
      <c r="B8" s="6" t="s">
        <v>156</v>
      </c>
      <c r="C8" s="6" t="s">
        <v>157</v>
      </c>
      <c r="D8" s="6" t="str">
        <f t="shared" si="1"/>
        <v>Alex Totter</v>
      </c>
      <c r="E8" s="5">
        <v>45839.0</v>
      </c>
      <c r="F8" s="5">
        <v>46204.0</v>
      </c>
    </row>
    <row r="9">
      <c r="A9" s="6" t="s">
        <v>201</v>
      </c>
      <c r="B9" s="6" t="s">
        <v>163</v>
      </c>
      <c r="C9" s="6" t="s">
        <v>164</v>
      </c>
      <c r="D9" s="6" t="str">
        <f t="shared" si="1"/>
        <v>Don Cortez</v>
      </c>
      <c r="E9" s="5">
        <v>45108.0</v>
      </c>
      <c r="F9" s="5">
        <v>46204.0</v>
      </c>
    </row>
    <row r="10">
      <c r="A10" s="6" t="s">
        <v>202</v>
      </c>
      <c r="B10" s="6" t="s">
        <v>177</v>
      </c>
      <c r="C10" s="6" t="s">
        <v>203</v>
      </c>
      <c r="D10" s="6" t="str">
        <f t="shared" si="1"/>
        <v>Matthew Combs</v>
      </c>
      <c r="E10" s="5">
        <v>45839.0</v>
      </c>
      <c r="F10" s="5">
        <v>46204.0</v>
      </c>
    </row>
    <row r="11">
      <c r="A11" s="6" t="s">
        <v>200</v>
      </c>
      <c r="B11" s="6" t="s">
        <v>184</v>
      </c>
      <c r="C11" s="6" t="s">
        <v>170</v>
      </c>
      <c r="D11" s="6" t="str">
        <f t="shared" si="1"/>
        <v>Ryan Yarhi</v>
      </c>
      <c r="E11" s="5">
        <v>45839.0</v>
      </c>
      <c r="F11" s="5">
        <v>46204.0</v>
      </c>
    </row>
    <row r="12">
      <c r="A12" s="6" t="s">
        <v>195</v>
      </c>
      <c r="B12" s="6" t="s">
        <v>156</v>
      </c>
      <c r="C12" s="6" t="s">
        <v>157</v>
      </c>
      <c r="D12" s="6" t="str">
        <f t="shared" si="1"/>
        <v>Alex Totter</v>
      </c>
      <c r="E12" s="5">
        <v>45474.0</v>
      </c>
      <c r="F12" s="5">
        <v>45839.0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cols>
    <col customWidth="1" min="7" max="7" width="20.5"/>
    <col customWidth="1" min="8" max="8" width="18.13"/>
    <col customWidth="1" min="9" max="9" width="22.0"/>
  </cols>
  <sheetData>
    <row r="20">
      <c r="G20" s="18" t="s">
        <v>204</v>
      </c>
    </row>
    <row r="21"/>
    <row r="22"/>
    <row r="23"/>
    <row r="24"/>
    <row r="25"/>
    <row r="26"/>
    <row r="27"/>
    <row r="28"/>
    <row r="29"/>
    <row r="30"/>
    <row r="31"/>
    <row r="32"/>
    <row r="33"/>
    <row r="34"/>
    <row r="35"/>
    <row r="36"/>
    <row r="37"/>
    <row r="38"/>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8.0"/>
    <col customWidth="1" min="3" max="4" width="19.13"/>
    <col customWidth="1" min="5" max="5" width="29.75"/>
    <col customWidth="1" min="6" max="6" width="12.13"/>
    <col customWidth="1" min="7" max="7" width="23.38"/>
    <col customWidth="1" min="8" max="8" width="27.38"/>
    <col customWidth="1" min="9" max="9" width="30.5"/>
    <col customWidth="1" min="10" max="10" width="31.0"/>
    <col customWidth="1" min="11" max="11" width="30.63"/>
    <col customWidth="1" min="12" max="12" width="14.38"/>
  </cols>
  <sheetData>
    <row r="1">
      <c r="A1" s="1" t="s">
        <v>221</v>
      </c>
      <c r="B1" s="1" t="s">
        <v>222</v>
      </c>
      <c r="C1" s="1" t="s">
        <v>223</v>
      </c>
      <c r="D1" s="1" t="s">
        <v>224</v>
      </c>
      <c r="E1" s="1" t="s">
        <v>225</v>
      </c>
      <c r="F1" s="1" t="s">
        <v>226</v>
      </c>
      <c r="G1" s="1" t="s">
        <v>227</v>
      </c>
      <c r="H1" s="1" t="s">
        <v>228</v>
      </c>
      <c r="I1" s="1" t="s">
        <v>229</v>
      </c>
      <c r="J1" s="1" t="s">
        <v>230</v>
      </c>
      <c r="K1" s="1" t="s">
        <v>231</v>
      </c>
      <c r="L1" s="1" t="s">
        <v>232</v>
      </c>
      <c r="M1" s="1" t="s">
        <v>233</v>
      </c>
      <c r="N1" s="1" t="s">
        <v>234</v>
      </c>
      <c r="O1" s="1" t="s">
        <v>235</v>
      </c>
      <c r="P1" s="1" t="s">
        <v>236</v>
      </c>
      <c r="Q1" s="1" t="s">
        <v>237</v>
      </c>
      <c r="R1" s="1" t="s">
        <v>238</v>
      </c>
    </row>
    <row r="2">
      <c r="A2" s="6" t="s">
        <v>239</v>
      </c>
    </row>
    <row r="3">
      <c r="A3" s="6" t="s">
        <v>240</v>
      </c>
    </row>
    <row r="4">
      <c r="A4" s="6" t="s">
        <v>241</v>
      </c>
    </row>
    <row r="5">
      <c r="A5" s="6" t="s">
        <v>242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16.0"/>
    <col customWidth="1" min="2" max="2" width="32.25"/>
    <col customWidth="1" min="3" max="3" width="35.63"/>
    <col customWidth="1" min="4" max="4" width="36.0"/>
    <col customWidth="1" min="5" max="5" width="28.38"/>
  </cols>
  <sheetData>
    <row r="1">
      <c r="A1" s="19" t="s">
        <v>243</v>
      </c>
      <c r="B1" s="19" t="s">
        <v>244</v>
      </c>
      <c r="C1" s="19" t="s">
        <v>245</v>
      </c>
      <c r="D1" s="1" t="s">
        <v>246</v>
      </c>
      <c r="E1" s="1" t="s">
        <v>247</v>
      </c>
    </row>
    <row r="2">
      <c r="A2" s="22"/>
      <c r="B2" s="7">
        <v>0.0</v>
      </c>
      <c r="C2" s="7">
        <v>0.0</v>
      </c>
    </row>
    <row r="3">
      <c r="A3" s="23" t="s">
        <v>248</v>
      </c>
      <c r="B3" s="7">
        <v>9.0</v>
      </c>
      <c r="C3" s="7">
        <v>1.0</v>
      </c>
      <c r="D3" s="7">
        <f t="shared" ref="D3:D14" si="1">Average($B$3:$B$14)</f>
        <v>7.166666667</v>
      </c>
      <c r="E3" s="7">
        <f t="shared" ref="E3:E14" si="2">Average($C$3:$C$14)</f>
        <v>1.5</v>
      </c>
    </row>
    <row r="4">
      <c r="A4" s="23" t="s">
        <v>249</v>
      </c>
      <c r="B4" s="7">
        <v>8.0</v>
      </c>
      <c r="C4" s="7">
        <v>0.0</v>
      </c>
      <c r="D4" s="7">
        <f t="shared" si="1"/>
        <v>7.166666667</v>
      </c>
      <c r="E4" s="7">
        <f t="shared" si="2"/>
        <v>1.5</v>
      </c>
    </row>
    <row r="5">
      <c r="A5" s="23" t="s">
        <v>250</v>
      </c>
      <c r="B5" s="7">
        <v>17.0</v>
      </c>
      <c r="C5" s="7">
        <v>4.0</v>
      </c>
      <c r="D5" s="7">
        <f t="shared" si="1"/>
        <v>7.166666667</v>
      </c>
      <c r="E5" s="7">
        <f t="shared" si="2"/>
        <v>1.5</v>
      </c>
    </row>
    <row r="6">
      <c r="A6" s="23" t="s">
        <v>251</v>
      </c>
      <c r="B6" s="7">
        <v>11.0</v>
      </c>
      <c r="C6" s="7">
        <v>1.0</v>
      </c>
      <c r="D6" s="7">
        <f t="shared" si="1"/>
        <v>7.166666667</v>
      </c>
      <c r="E6" s="7">
        <f t="shared" si="2"/>
        <v>1.5</v>
      </c>
    </row>
    <row r="7">
      <c r="A7" s="23" t="s">
        <v>252</v>
      </c>
      <c r="B7" s="7">
        <v>5.0</v>
      </c>
      <c r="C7" s="7">
        <v>0.0</v>
      </c>
      <c r="D7" s="7">
        <f t="shared" si="1"/>
        <v>7.166666667</v>
      </c>
      <c r="E7" s="7">
        <f t="shared" si="2"/>
        <v>1.5</v>
      </c>
    </row>
    <row r="8">
      <c r="A8" s="23" t="s">
        <v>253</v>
      </c>
      <c r="B8" s="7">
        <v>4.0</v>
      </c>
      <c r="C8" s="7">
        <v>0.0</v>
      </c>
      <c r="D8" s="7">
        <f t="shared" si="1"/>
        <v>7.166666667</v>
      </c>
      <c r="E8" s="7">
        <f t="shared" si="2"/>
        <v>1.5</v>
      </c>
    </row>
    <row r="9">
      <c r="A9" s="23" t="s">
        <v>254</v>
      </c>
      <c r="B9" s="7">
        <v>11.0</v>
      </c>
      <c r="C9" s="7">
        <v>2.0</v>
      </c>
      <c r="D9" s="7">
        <f t="shared" si="1"/>
        <v>7.166666667</v>
      </c>
      <c r="E9" s="7">
        <f t="shared" si="2"/>
        <v>1.5</v>
      </c>
    </row>
    <row r="10">
      <c r="A10" s="23" t="s">
        <v>255</v>
      </c>
      <c r="B10" s="7">
        <v>7.0</v>
      </c>
      <c r="C10" s="7">
        <v>2.0</v>
      </c>
      <c r="D10" s="7">
        <f t="shared" si="1"/>
        <v>7.166666667</v>
      </c>
      <c r="E10" s="7">
        <f t="shared" si="2"/>
        <v>1.5</v>
      </c>
    </row>
    <row r="11">
      <c r="A11" s="23" t="s">
        <v>256</v>
      </c>
      <c r="B11" s="7">
        <v>6.0</v>
      </c>
      <c r="C11" s="7">
        <v>3.0</v>
      </c>
      <c r="D11" s="7">
        <f t="shared" si="1"/>
        <v>7.166666667</v>
      </c>
      <c r="E11" s="7">
        <f t="shared" si="2"/>
        <v>1.5</v>
      </c>
    </row>
    <row r="12">
      <c r="A12" s="23" t="s">
        <v>257</v>
      </c>
      <c r="B12" s="7">
        <v>3.0</v>
      </c>
      <c r="C12" s="7">
        <v>2.0</v>
      </c>
      <c r="D12" s="7">
        <f t="shared" si="1"/>
        <v>7.166666667</v>
      </c>
      <c r="E12" s="7">
        <f t="shared" si="2"/>
        <v>1.5</v>
      </c>
    </row>
    <row r="13">
      <c r="A13" s="23" t="s">
        <v>258</v>
      </c>
      <c r="B13" s="7">
        <v>3.0</v>
      </c>
      <c r="C13" s="7">
        <v>1.0</v>
      </c>
      <c r="D13" s="7">
        <f t="shared" si="1"/>
        <v>7.166666667</v>
      </c>
      <c r="E13" s="7">
        <f t="shared" si="2"/>
        <v>1.5</v>
      </c>
    </row>
    <row r="14">
      <c r="A14" s="23" t="s">
        <v>259</v>
      </c>
      <c r="B14" s="7">
        <v>2.0</v>
      </c>
      <c r="C14" s="7">
        <v>2.0</v>
      </c>
      <c r="D14" s="7">
        <f t="shared" si="1"/>
        <v>7.166666667</v>
      </c>
      <c r="E14" s="7">
        <f t="shared" si="2"/>
        <v>1.5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7.88"/>
  </cols>
  <sheetData>
    <row r="1">
      <c r="A1" s="6" t="s">
        <v>3</v>
      </c>
      <c r="B1" s="6" t="s">
        <v>260</v>
      </c>
      <c r="C1" s="6" t="s">
        <v>261</v>
      </c>
      <c r="D1" s="6" t="s">
        <v>12</v>
      </c>
      <c r="E1" s="6" t="s">
        <v>262</v>
      </c>
      <c r="F1" s="6" t="s">
        <v>4</v>
      </c>
      <c r="G1" s="6" t="s">
        <v>263</v>
      </c>
      <c r="H1" s="6" t="s">
        <v>264</v>
      </c>
      <c r="I1" s="6" t="s">
        <v>265</v>
      </c>
    </row>
    <row r="2">
      <c r="A2" s="6" t="s">
        <v>266</v>
      </c>
      <c r="B2" s="6" t="s">
        <v>27</v>
      </c>
      <c r="C2" s="24">
        <v>45587.0</v>
      </c>
      <c r="D2" s="25">
        <v>1.25</v>
      </c>
      <c r="E2" s="6" t="s">
        <v>29</v>
      </c>
      <c r="F2" s="6" t="s">
        <v>26</v>
      </c>
      <c r="G2" s="24">
        <v>45587.0</v>
      </c>
      <c r="H2" s="26">
        <v>45566.0</v>
      </c>
      <c r="I2" s="6" t="b">
        <v>1</v>
      </c>
    </row>
    <row r="3">
      <c r="A3" s="6" t="s">
        <v>266</v>
      </c>
      <c r="B3" s="6" t="s">
        <v>37</v>
      </c>
      <c r="C3" s="24">
        <v>45587.0</v>
      </c>
      <c r="D3" s="25">
        <v>1.25</v>
      </c>
      <c r="E3" s="6" t="s">
        <v>29</v>
      </c>
      <c r="F3" s="6" t="s">
        <v>26</v>
      </c>
      <c r="G3" s="24">
        <v>45587.0</v>
      </c>
      <c r="H3" s="26">
        <v>45566.0</v>
      </c>
      <c r="I3" s="6" t="b">
        <v>1</v>
      </c>
    </row>
    <row r="4">
      <c r="A4" s="6" t="s">
        <v>267</v>
      </c>
      <c r="B4" s="6" t="s">
        <v>27</v>
      </c>
      <c r="C4" s="24">
        <v>45646.0</v>
      </c>
      <c r="D4" s="25">
        <v>1.75</v>
      </c>
      <c r="E4" s="6" t="s">
        <v>29</v>
      </c>
      <c r="F4" s="6" t="s">
        <v>26</v>
      </c>
      <c r="G4" s="24">
        <v>45587.0</v>
      </c>
      <c r="H4" s="26">
        <v>45566.0</v>
      </c>
      <c r="I4" s="6"/>
    </row>
    <row r="5">
      <c r="A5" s="6" t="s">
        <v>267</v>
      </c>
      <c r="B5" s="6" t="s">
        <v>37</v>
      </c>
      <c r="C5" s="24">
        <v>45646.0</v>
      </c>
      <c r="D5" s="25">
        <v>1.75</v>
      </c>
      <c r="E5" s="6" t="s">
        <v>29</v>
      </c>
      <c r="F5" s="6" t="s">
        <v>26</v>
      </c>
      <c r="G5" s="24">
        <v>45587.0</v>
      </c>
      <c r="H5" s="26">
        <v>45566.0</v>
      </c>
      <c r="I5" s="6"/>
    </row>
    <row r="6">
      <c r="A6" s="6" t="s">
        <v>267</v>
      </c>
      <c r="B6" s="6" t="s">
        <v>268</v>
      </c>
      <c r="C6" s="24">
        <v>45646.0</v>
      </c>
      <c r="D6" s="25">
        <v>1.75</v>
      </c>
      <c r="E6" s="6" t="s">
        <v>29</v>
      </c>
      <c r="F6" s="6" t="s">
        <v>26</v>
      </c>
      <c r="G6" s="24">
        <v>45646.0</v>
      </c>
      <c r="H6" s="26">
        <v>45627.0</v>
      </c>
      <c r="I6" s="6" t="b">
        <v>1</v>
      </c>
    </row>
    <row r="7">
      <c r="A7" s="6" t="s">
        <v>269</v>
      </c>
      <c r="B7" s="6" t="s">
        <v>88</v>
      </c>
      <c r="C7" s="24">
        <v>45672.0</v>
      </c>
      <c r="D7" s="25">
        <v>3.25</v>
      </c>
      <c r="E7" s="6" t="s">
        <v>29</v>
      </c>
      <c r="F7" s="6" t="s">
        <v>32</v>
      </c>
      <c r="G7" s="24">
        <v>45672.0</v>
      </c>
      <c r="H7" s="27">
        <v>45658.0</v>
      </c>
      <c r="I7" s="6" t="b">
        <v>1</v>
      </c>
    </row>
    <row r="8">
      <c r="A8" s="6" t="s">
        <v>269</v>
      </c>
      <c r="B8" s="6" t="s">
        <v>48</v>
      </c>
      <c r="C8" s="24">
        <v>45672.0</v>
      </c>
      <c r="D8" s="25">
        <v>3.25</v>
      </c>
      <c r="E8" s="6" t="s">
        <v>29</v>
      </c>
      <c r="F8" s="6" t="s">
        <v>32</v>
      </c>
      <c r="G8" s="24">
        <v>45672.0</v>
      </c>
      <c r="H8" s="27">
        <v>45658.0</v>
      </c>
      <c r="I8" s="6" t="b">
        <v>1</v>
      </c>
    </row>
    <row r="9">
      <c r="A9" s="6" t="s">
        <v>269</v>
      </c>
      <c r="B9" s="6" t="s">
        <v>27</v>
      </c>
      <c r="C9" s="24">
        <v>45672.0</v>
      </c>
      <c r="D9" s="25">
        <v>3.25</v>
      </c>
      <c r="E9" s="6" t="s">
        <v>29</v>
      </c>
      <c r="F9" s="6" t="s">
        <v>32</v>
      </c>
      <c r="G9" s="24">
        <v>45587.0</v>
      </c>
      <c r="H9" s="26">
        <v>45566.0</v>
      </c>
      <c r="I9" s="6"/>
    </row>
    <row r="10">
      <c r="A10" s="6" t="s">
        <v>270</v>
      </c>
      <c r="B10" s="6" t="s">
        <v>219</v>
      </c>
      <c r="C10" s="24">
        <v>45739.0</v>
      </c>
      <c r="D10" s="25">
        <v>32.0</v>
      </c>
      <c r="E10" s="6" t="s">
        <v>39</v>
      </c>
      <c r="F10" s="6" t="s">
        <v>36</v>
      </c>
      <c r="G10" s="24">
        <v>45739.0</v>
      </c>
      <c r="H10" s="27">
        <v>45717.0</v>
      </c>
      <c r="I10" s="6" t="b">
        <v>1</v>
      </c>
    </row>
    <row r="11">
      <c r="A11" s="6" t="s">
        <v>270</v>
      </c>
      <c r="B11" s="6" t="s">
        <v>37</v>
      </c>
      <c r="C11" s="24">
        <v>45739.0</v>
      </c>
      <c r="D11" s="25">
        <v>32.0</v>
      </c>
      <c r="E11" s="6" t="s">
        <v>39</v>
      </c>
      <c r="F11" s="6" t="s">
        <v>36</v>
      </c>
      <c r="G11" s="24">
        <v>45587.0</v>
      </c>
      <c r="H11" s="26">
        <v>45566.0</v>
      </c>
      <c r="I11" s="6"/>
    </row>
    <row r="12">
      <c r="A12" s="6" t="s">
        <v>270</v>
      </c>
      <c r="B12" s="6" t="s">
        <v>48</v>
      </c>
      <c r="C12" s="24">
        <v>45739.0</v>
      </c>
      <c r="D12" s="25">
        <v>32.0</v>
      </c>
      <c r="E12" s="6" t="s">
        <v>39</v>
      </c>
      <c r="F12" s="6" t="s">
        <v>36</v>
      </c>
      <c r="G12" s="24">
        <v>45672.0</v>
      </c>
      <c r="H12" s="27">
        <v>45658.0</v>
      </c>
      <c r="I12" s="6"/>
    </row>
    <row r="13">
      <c r="A13" s="6" t="s">
        <v>270</v>
      </c>
      <c r="B13" s="6" t="s">
        <v>271</v>
      </c>
      <c r="C13" s="24">
        <v>45739.0</v>
      </c>
      <c r="D13" s="25">
        <v>32.0</v>
      </c>
      <c r="E13" s="6" t="s">
        <v>39</v>
      </c>
      <c r="F13" s="6" t="s">
        <v>36</v>
      </c>
      <c r="G13" s="24">
        <v>45739.0</v>
      </c>
      <c r="H13" s="27">
        <v>45717.0</v>
      </c>
      <c r="I13" s="6" t="b">
        <v>1</v>
      </c>
    </row>
    <row r="14">
      <c r="A14" s="6" t="s">
        <v>270</v>
      </c>
      <c r="B14" s="6" t="s">
        <v>272</v>
      </c>
      <c r="C14" s="24">
        <v>45739.0</v>
      </c>
      <c r="D14" s="25">
        <v>32.0</v>
      </c>
      <c r="E14" s="6" t="s">
        <v>39</v>
      </c>
      <c r="F14" s="6" t="s">
        <v>36</v>
      </c>
      <c r="G14" s="24">
        <v>45739.0</v>
      </c>
      <c r="H14" s="27">
        <v>45717.0</v>
      </c>
      <c r="I14" s="6" t="b">
        <v>1</v>
      </c>
    </row>
    <row r="15">
      <c r="A15" s="6" t="s">
        <v>270</v>
      </c>
      <c r="B15" s="6" t="s">
        <v>27</v>
      </c>
      <c r="C15" s="24">
        <v>45739.0</v>
      </c>
      <c r="D15" s="25">
        <v>32.0</v>
      </c>
      <c r="E15" s="6" t="s">
        <v>39</v>
      </c>
      <c r="F15" s="6" t="s">
        <v>36</v>
      </c>
      <c r="G15" s="24">
        <v>45587.0</v>
      </c>
      <c r="H15" s="26">
        <v>45566.0</v>
      </c>
      <c r="I15" s="6"/>
    </row>
    <row r="16">
      <c r="A16" s="6" t="s">
        <v>273</v>
      </c>
      <c r="B16" s="6" t="s">
        <v>37</v>
      </c>
      <c r="C16" s="24">
        <v>45793.0</v>
      </c>
      <c r="D16" s="25">
        <v>4.5</v>
      </c>
      <c r="E16" s="6" t="s">
        <v>29</v>
      </c>
      <c r="F16" s="6" t="s">
        <v>41</v>
      </c>
      <c r="G16" s="24">
        <v>45587.0</v>
      </c>
      <c r="H16" s="26">
        <v>45566.0</v>
      </c>
      <c r="I16" s="6"/>
    </row>
    <row r="17">
      <c r="A17" s="6" t="s">
        <v>273</v>
      </c>
      <c r="B17" s="6" t="s">
        <v>48</v>
      </c>
      <c r="C17" s="24">
        <v>45793.0</v>
      </c>
      <c r="D17" s="25">
        <v>4.5</v>
      </c>
      <c r="E17" s="6" t="s">
        <v>29</v>
      </c>
      <c r="F17" s="6" t="s">
        <v>41</v>
      </c>
      <c r="G17" s="24">
        <v>45672.0</v>
      </c>
      <c r="H17" s="27">
        <v>45658.0</v>
      </c>
      <c r="I17" s="6"/>
    </row>
    <row r="18">
      <c r="A18" s="6" t="s">
        <v>273</v>
      </c>
      <c r="B18" s="6" t="s">
        <v>274</v>
      </c>
      <c r="C18" s="24">
        <v>45793.0</v>
      </c>
      <c r="D18" s="25">
        <v>4.5</v>
      </c>
      <c r="E18" s="6" t="s">
        <v>29</v>
      </c>
      <c r="F18" s="6" t="s">
        <v>41</v>
      </c>
      <c r="G18" s="24">
        <v>45793.0</v>
      </c>
      <c r="H18" s="27">
        <v>45778.0</v>
      </c>
      <c r="I18" s="6" t="b">
        <v>1</v>
      </c>
    </row>
    <row r="19">
      <c r="A19" s="6" t="s">
        <v>273</v>
      </c>
      <c r="B19" s="6" t="s">
        <v>42</v>
      </c>
      <c r="C19" s="24">
        <v>45793.0</v>
      </c>
      <c r="D19" s="25">
        <v>4.5</v>
      </c>
      <c r="E19" s="6" t="s">
        <v>29</v>
      </c>
      <c r="F19" s="6" t="s">
        <v>41</v>
      </c>
      <c r="G19" s="24">
        <v>45793.0</v>
      </c>
      <c r="H19" s="27">
        <v>45778.0</v>
      </c>
      <c r="I19" s="6" t="b">
        <v>1</v>
      </c>
    </row>
    <row r="20">
      <c r="A20" s="6" t="s">
        <v>273</v>
      </c>
      <c r="B20" s="6" t="s">
        <v>219</v>
      </c>
      <c r="C20" s="24">
        <v>45793.0</v>
      </c>
      <c r="D20" s="25">
        <v>4.5</v>
      </c>
      <c r="E20" s="6" t="s">
        <v>29</v>
      </c>
      <c r="F20" s="6" t="s">
        <v>41</v>
      </c>
      <c r="G20" s="24">
        <v>45739.0</v>
      </c>
      <c r="H20" s="27">
        <v>45717.0</v>
      </c>
      <c r="I20" s="6"/>
    </row>
    <row r="21">
      <c r="A21" s="6" t="s">
        <v>275</v>
      </c>
      <c r="B21" s="6" t="s">
        <v>27</v>
      </c>
      <c r="C21" s="24">
        <v>45799.0</v>
      </c>
      <c r="D21" s="25">
        <v>2.25</v>
      </c>
      <c r="E21" s="6" t="s">
        <v>29</v>
      </c>
      <c r="F21" s="6" t="s">
        <v>41</v>
      </c>
      <c r="G21" s="24">
        <v>45587.0</v>
      </c>
      <c r="H21" s="26">
        <v>45566.0</v>
      </c>
      <c r="I21" s="6"/>
    </row>
    <row r="22">
      <c r="A22" s="6" t="s">
        <v>275</v>
      </c>
      <c r="B22" s="6" t="s">
        <v>42</v>
      </c>
      <c r="C22" s="24">
        <v>45799.0</v>
      </c>
      <c r="D22" s="25">
        <v>2.25</v>
      </c>
      <c r="E22" s="6" t="s">
        <v>29</v>
      </c>
      <c r="F22" s="6" t="s">
        <v>41</v>
      </c>
      <c r="G22" s="24">
        <v>45793.0</v>
      </c>
      <c r="H22" s="27">
        <v>45778.0</v>
      </c>
      <c r="I22" s="6"/>
    </row>
    <row r="23">
      <c r="A23" s="6" t="s">
        <v>275</v>
      </c>
      <c r="B23" s="6" t="s">
        <v>272</v>
      </c>
      <c r="C23" s="24">
        <v>45799.0</v>
      </c>
      <c r="D23" s="25">
        <v>2.25</v>
      </c>
      <c r="E23" s="6" t="s">
        <v>29</v>
      </c>
      <c r="F23" s="6" t="s">
        <v>41</v>
      </c>
      <c r="G23" s="24">
        <v>45739.0</v>
      </c>
      <c r="H23" s="27">
        <v>45717.0</v>
      </c>
      <c r="I23" s="6"/>
    </row>
    <row r="24">
      <c r="A24" s="6" t="s">
        <v>276</v>
      </c>
      <c r="B24" s="6" t="s">
        <v>48</v>
      </c>
      <c r="C24" s="24">
        <v>45842.0</v>
      </c>
      <c r="D24" s="25">
        <v>2.5</v>
      </c>
      <c r="E24" s="6" t="s">
        <v>50</v>
      </c>
      <c r="F24" s="6" t="s">
        <v>47</v>
      </c>
      <c r="G24" s="24">
        <v>45672.0</v>
      </c>
      <c r="H24" s="27">
        <v>45658.0</v>
      </c>
      <c r="I24" s="6"/>
    </row>
    <row r="25">
      <c r="A25" s="6" t="s">
        <v>276</v>
      </c>
      <c r="B25" s="6" t="s">
        <v>42</v>
      </c>
      <c r="C25" s="24">
        <v>45842.0</v>
      </c>
      <c r="D25" s="25">
        <v>2.5</v>
      </c>
      <c r="E25" s="6" t="s">
        <v>50</v>
      </c>
      <c r="F25" s="6" t="s">
        <v>47</v>
      </c>
      <c r="G25" s="24">
        <v>45793.0</v>
      </c>
      <c r="H25" s="27">
        <v>45778.0</v>
      </c>
      <c r="I25" s="6"/>
    </row>
    <row r="26">
      <c r="A26" s="6" t="s">
        <v>276</v>
      </c>
      <c r="B26" s="6" t="s">
        <v>274</v>
      </c>
      <c r="C26" s="24">
        <v>45842.0</v>
      </c>
      <c r="D26" s="25">
        <v>2.5</v>
      </c>
      <c r="E26" s="6" t="s">
        <v>50</v>
      </c>
      <c r="F26" s="6" t="s">
        <v>47</v>
      </c>
      <c r="G26" s="24">
        <v>45793.0</v>
      </c>
      <c r="H26" s="27">
        <v>45778.0</v>
      </c>
      <c r="I26" s="6"/>
    </row>
    <row r="27">
      <c r="A27" s="6" t="s">
        <v>276</v>
      </c>
      <c r="B27" s="6" t="s">
        <v>271</v>
      </c>
      <c r="C27" s="24">
        <v>45842.0</v>
      </c>
      <c r="D27" s="25">
        <v>2.5</v>
      </c>
      <c r="E27" s="6" t="s">
        <v>50</v>
      </c>
      <c r="F27" s="6" t="s">
        <v>47</v>
      </c>
      <c r="G27" s="24">
        <v>45739.0</v>
      </c>
      <c r="H27" s="27">
        <v>45717.0</v>
      </c>
      <c r="I27" s="6"/>
    </row>
    <row r="28">
      <c r="A28" s="6" t="s">
        <v>276</v>
      </c>
      <c r="B28" s="6" t="s">
        <v>97</v>
      </c>
      <c r="C28" s="24">
        <v>45842.0</v>
      </c>
      <c r="D28" s="25">
        <v>2.5</v>
      </c>
      <c r="E28" s="6" t="s">
        <v>50</v>
      </c>
      <c r="F28" s="6" t="s">
        <v>47</v>
      </c>
      <c r="G28" s="24">
        <v>45842.0</v>
      </c>
      <c r="H28" s="27">
        <v>45839.0</v>
      </c>
      <c r="I28" s="6" t="b">
        <v>1</v>
      </c>
    </row>
    <row r="29">
      <c r="A29" s="6" t="s">
        <v>276</v>
      </c>
      <c r="B29" s="6" t="s">
        <v>219</v>
      </c>
      <c r="C29" s="24">
        <v>45842.0</v>
      </c>
      <c r="D29" s="25">
        <v>2.5</v>
      </c>
      <c r="E29" s="6" t="s">
        <v>50</v>
      </c>
      <c r="F29" s="6" t="s">
        <v>47</v>
      </c>
      <c r="G29" s="24">
        <v>45739.0</v>
      </c>
      <c r="H29" s="27">
        <v>45717.0</v>
      </c>
      <c r="I29" s="6"/>
    </row>
    <row r="30">
      <c r="A30" s="6" t="s">
        <v>277</v>
      </c>
      <c r="B30" s="6" t="s">
        <v>88</v>
      </c>
      <c r="C30" s="24">
        <v>45865.0</v>
      </c>
      <c r="D30" s="25">
        <v>2.75</v>
      </c>
      <c r="E30" s="6" t="s">
        <v>29</v>
      </c>
      <c r="F30" s="6" t="s">
        <v>26</v>
      </c>
      <c r="G30" s="24">
        <v>45672.0</v>
      </c>
      <c r="H30" s="27">
        <v>45658.0</v>
      </c>
      <c r="I30" s="6"/>
    </row>
    <row r="31">
      <c r="A31" s="6" t="s">
        <v>277</v>
      </c>
      <c r="B31" s="6" t="s">
        <v>48</v>
      </c>
      <c r="C31" s="24">
        <v>45865.0</v>
      </c>
      <c r="D31" s="25">
        <v>2.75</v>
      </c>
      <c r="E31" s="6" t="s">
        <v>29</v>
      </c>
      <c r="F31" s="6" t="s">
        <v>26</v>
      </c>
      <c r="G31" s="24">
        <v>45672.0</v>
      </c>
      <c r="H31" s="27">
        <v>45658.0</v>
      </c>
      <c r="I31" s="6"/>
    </row>
    <row r="32">
      <c r="A32" s="6" t="s">
        <v>277</v>
      </c>
      <c r="B32" s="6" t="s">
        <v>37</v>
      </c>
      <c r="C32" s="24">
        <v>45865.0</v>
      </c>
      <c r="D32" s="25">
        <v>2.75</v>
      </c>
      <c r="E32" s="6" t="s">
        <v>29</v>
      </c>
      <c r="F32" s="6" t="s">
        <v>26</v>
      </c>
      <c r="G32" s="24">
        <v>45587.0</v>
      </c>
      <c r="H32" s="26">
        <v>45566.0</v>
      </c>
      <c r="I32" s="6"/>
    </row>
    <row r="33">
      <c r="A33" s="6" t="s">
        <v>277</v>
      </c>
      <c r="B33" s="6" t="s">
        <v>27</v>
      </c>
      <c r="C33" s="24">
        <v>45865.0</v>
      </c>
      <c r="D33" s="25">
        <v>2.75</v>
      </c>
      <c r="E33" s="6" t="s">
        <v>29</v>
      </c>
      <c r="F33" s="6" t="s">
        <v>26</v>
      </c>
      <c r="G33" s="24">
        <v>45587.0</v>
      </c>
      <c r="H33" s="26">
        <v>45566.0</v>
      </c>
      <c r="I33" s="6"/>
    </row>
    <row r="34">
      <c r="A34" s="6" t="s">
        <v>278</v>
      </c>
      <c r="B34" s="6" t="s">
        <v>272</v>
      </c>
      <c r="C34" s="24">
        <v>45869.0</v>
      </c>
      <c r="D34" s="25">
        <v>4.25</v>
      </c>
      <c r="E34" s="6" t="s">
        <v>29</v>
      </c>
      <c r="F34" s="6" t="s">
        <v>41</v>
      </c>
      <c r="G34" s="24">
        <v>45739.0</v>
      </c>
      <c r="H34" s="27">
        <v>45717.0</v>
      </c>
      <c r="I34" s="6"/>
    </row>
    <row r="35">
      <c r="A35" s="6" t="s">
        <v>278</v>
      </c>
      <c r="B35" s="6" t="s">
        <v>211</v>
      </c>
      <c r="C35" s="24">
        <v>45869.0</v>
      </c>
      <c r="D35" s="25">
        <v>4.25</v>
      </c>
      <c r="E35" s="6" t="s">
        <v>29</v>
      </c>
      <c r="F35" s="6" t="s">
        <v>41</v>
      </c>
      <c r="G35" s="24">
        <v>45869.0</v>
      </c>
      <c r="H35" s="27">
        <v>45839.0</v>
      </c>
      <c r="I35" s="6" t="b">
        <v>1</v>
      </c>
    </row>
    <row r="36">
      <c r="A36" s="6" t="s">
        <v>278</v>
      </c>
      <c r="B36" s="6" t="s">
        <v>42</v>
      </c>
      <c r="C36" s="24">
        <v>45869.0</v>
      </c>
      <c r="D36" s="25">
        <v>4.25</v>
      </c>
      <c r="E36" s="6" t="s">
        <v>29</v>
      </c>
      <c r="F36" s="6" t="s">
        <v>41</v>
      </c>
      <c r="G36" s="24">
        <v>45793.0</v>
      </c>
      <c r="H36" s="27">
        <v>45778.0</v>
      </c>
      <c r="I36" s="6"/>
    </row>
    <row r="37">
      <c r="A37" s="6" t="s">
        <v>278</v>
      </c>
      <c r="B37" s="6" t="s">
        <v>37</v>
      </c>
      <c r="C37" s="24">
        <v>45869.0</v>
      </c>
      <c r="D37" s="25">
        <v>4.25</v>
      </c>
      <c r="E37" s="6" t="s">
        <v>29</v>
      </c>
      <c r="F37" s="6" t="s">
        <v>41</v>
      </c>
      <c r="G37" s="24">
        <v>45587.0</v>
      </c>
      <c r="H37" s="26">
        <v>45566.0</v>
      </c>
      <c r="I37" s="6"/>
    </row>
    <row r="38">
      <c r="A38" s="6" t="s">
        <v>279</v>
      </c>
      <c r="B38" s="6" t="s">
        <v>48</v>
      </c>
      <c r="C38" s="24">
        <v>45890.0</v>
      </c>
      <c r="D38" s="25">
        <v>0.75</v>
      </c>
      <c r="E38" s="6" t="s">
        <v>50</v>
      </c>
      <c r="F38" s="6" t="s">
        <v>47</v>
      </c>
      <c r="G38" s="24">
        <v>45672.0</v>
      </c>
      <c r="H38" s="27">
        <v>45658.0</v>
      </c>
      <c r="I38" s="6"/>
    </row>
    <row r="39">
      <c r="A39" s="6" t="s">
        <v>279</v>
      </c>
      <c r="B39" s="6" t="s">
        <v>42</v>
      </c>
      <c r="C39" s="24">
        <v>45890.0</v>
      </c>
      <c r="D39" s="25">
        <v>0.75</v>
      </c>
      <c r="E39" s="6" t="s">
        <v>50</v>
      </c>
      <c r="F39" s="6" t="s">
        <v>47</v>
      </c>
      <c r="G39" s="24">
        <v>45793.0</v>
      </c>
      <c r="H39" s="27">
        <v>45778.0</v>
      </c>
      <c r="I39" s="6"/>
    </row>
    <row r="40">
      <c r="A40" s="6" t="s">
        <v>279</v>
      </c>
      <c r="B40" s="6" t="s">
        <v>274</v>
      </c>
      <c r="C40" s="24">
        <v>45890.0</v>
      </c>
      <c r="D40" s="25">
        <v>0.75</v>
      </c>
      <c r="E40" s="6" t="s">
        <v>50</v>
      </c>
      <c r="F40" s="6" t="s">
        <v>47</v>
      </c>
      <c r="G40" s="24">
        <v>45793.0</v>
      </c>
      <c r="H40" s="27">
        <v>45778.0</v>
      </c>
      <c r="I40" s="6"/>
    </row>
    <row r="41">
      <c r="A41" s="6" t="s">
        <v>279</v>
      </c>
      <c r="B41" s="6" t="s">
        <v>219</v>
      </c>
      <c r="C41" s="24">
        <v>45890.0</v>
      </c>
      <c r="D41" s="25">
        <v>0.75</v>
      </c>
      <c r="E41" s="6" t="s">
        <v>50</v>
      </c>
      <c r="F41" s="6" t="s">
        <v>47</v>
      </c>
      <c r="G41" s="24">
        <v>45739.0</v>
      </c>
      <c r="H41" s="27">
        <v>45717.0</v>
      </c>
      <c r="I41" s="6"/>
    </row>
    <row r="42">
      <c r="A42" s="6" t="s">
        <v>280</v>
      </c>
      <c r="B42" s="6" t="s">
        <v>42</v>
      </c>
      <c r="C42" s="24">
        <v>45906.0</v>
      </c>
      <c r="D42" s="25">
        <v>6.0</v>
      </c>
      <c r="E42" s="6" t="s">
        <v>29</v>
      </c>
      <c r="F42" s="6" t="s">
        <v>26</v>
      </c>
      <c r="G42" s="24">
        <v>45793.0</v>
      </c>
      <c r="H42" s="27">
        <v>45778.0</v>
      </c>
      <c r="I42" s="6"/>
    </row>
    <row r="43">
      <c r="A43" s="6" t="s">
        <v>281</v>
      </c>
      <c r="B43" s="6" t="s">
        <v>48</v>
      </c>
      <c r="C43" s="24">
        <v>45917.0</v>
      </c>
      <c r="D43" s="25">
        <v>2.5</v>
      </c>
      <c r="E43" s="6" t="s">
        <v>29</v>
      </c>
      <c r="F43" s="6" t="s">
        <v>26</v>
      </c>
      <c r="G43" s="24">
        <v>45672.0</v>
      </c>
      <c r="H43" s="27">
        <v>45658.0</v>
      </c>
      <c r="I43" s="6"/>
    </row>
    <row r="44">
      <c r="A44" s="6" t="s">
        <v>281</v>
      </c>
      <c r="B44" s="6" t="s">
        <v>27</v>
      </c>
      <c r="C44" s="24">
        <v>45917.0</v>
      </c>
      <c r="D44" s="25">
        <v>2.5</v>
      </c>
      <c r="E44" s="6" t="s">
        <v>29</v>
      </c>
      <c r="F44" s="6" t="s">
        <v>26</v>
      </c>
      <c r="G44" s="24">
        <v>45587.0</v>
      </c>
      <c r="H44" s="26">
        <v>45566.0</v>
      </c>
      <c r="I44" s="6"/>
    </row>
    <row r="45">
      <c r="A45" s="6" t="s">
        <v>281</v>
      </c>
      <c r="B45" s="6" t="s">
        <v>42</v>
      </c>
      <c r="C45" s="24">
        <v>45917.0</v>
      </c>
      <c r="D45" s="25">
        <v>2.5</v>
      </c>
      <c r="E45" s="6" t="s">
        <v>29</v>
      </c>
      <c r="F45" s="6" t="s">
        <v>26</v>
      </c>
      <c r="G45" s="24">
        <v>45793.0</v>
      </c>
      <c r="H45" s="27">
        <v>45778.0</v>
      </c>
      <c r="I45" s="6"/>
    </row>
    <row r="46">
      <c r="A46" s="6" t="s">
        <v>281</v>
      </c>
      <c r="B46" s="6" t="s">
        <v>268</v>
      </c>
      <c r="C46" s="24">
        <v>45917.0</v>
      </c>
      <c r="D46" s="25">
        <v>2.5</v>
      </c>
      <c r="E46" s="6" t="s">
        <v>29</v>
      </c>
      <c r="F46" s="6" t="s">
        <v>26</v>
      </c>
      <c r="G46" s="24">
        <v>45646.0</v>
      </c>
      <c r="H46" s="26">
        <v>45627.0</v>
      </c>
      <c r="I46" s="6"/>
    </row>
    <row r="47">
      <c r="A47" s="6" t="s">
        <v>282</v>
      </c>
      <c r="B47" s="6" t="s">
        <v>27</v>
      </c>
      <c r="C47" s="24">
        <v>45928.0</v>
      </c>
      <c r="D47" s="25">
        <v>21.0</v>
      </c>
      <c r="E47" s="6" t="s">
        <v>63</v>
      </c>
      <c r="F47" s="6" t="s">
        <v>26</v>
      </c>
      <c r="G47" s="24">
        <v>45587.0</v>
      </c>
      <c r="H47" s="26">
        <v>45566.0</v>
      </c>
      <c r="I47" s="6"/>
    </row>
    <row r="48">
      <c r="A48" s="6" t="s">
        <v>282</v>
      </c>
      <c r="B48" s="6" t="s">
        <v>42</v>
      </c>
      <c r="C48" s="24">
        <v>45928.0</v>
      </c>
      <c r="D48" s="25">
        <v>21.0</v>
      </c>
      <c r="E48" s="6" t="s">
        <v>63</v>
      </c>
      <c r="F48" s="6" t="s">
        <v>26</v>
      </c>
      <c r="G48" s="24">
        <v>45793.0</v>
      </c>
      <c r="H48" s="27">
        <v>45778.0</v>
      </c>
      <c r="I48" s="6"/>
    </row>
    <row r="49">
      <c r="A49" s="6" t="s">
        <v>283</v>
      </c>
      <c r="B49" s="6" t="s">
        <v>37</v>
      </c>
      <c r="C49" s="24">
        <v>45929.0</v>
      </c>
      <c r="D49" s="25">
        <v>6.0</v>
      </c>
      <c r="E49" s="6" t="s">
        <v>29</v>
      </c>
      <c r="F49" s="6" t="s">
        <v>41</v>
      </c>
      <c r="G49" s="24">
        <v>45587.0</v>
      </c>
      <c r="H49" s="26">
        <v>45566.0</v>
      </c>
      <c r="I49" s="6"/>
    </row>
    <row r="50">
      <c r="A50" s="6" t="s">
        <v>283</v>
      </c>
      <c r="B50" s="6" t="s">
        <v>42</v>
      </c>
      <c r="C50" s="24">
        <v>45929.0</v>
      </c>
      <c r="D50" s="25">
        <v>6.0</v>
      </c>
      <c r="E50" s="6" t="s">
        <v>29</v>
      </c>
      <c r="F50" s="6" t="s">
        <v>41</v>
      </c>
      <c r="G50" s="24">
        <v>45793.0</v>
      </c>
      <c r="H50" s="27">
        <v>45778.0</v>
      </c>
      <c r="I50" s="6"/>
    </row>
    <row r="51">
      <c r="A51" s="6" t="s">
        <v>284</v>
      </c>
      <c r="B51" s="6" t="s">
        <v>27</v>
      </c>
      <c r="C51" s="24">
        <v>45939.0</v>
      </c>
      <c r="D51" s="25">
        <v>1.75</v>
      </c>
      <c r="E51" s="6" t="s">
        <v>39</v>
      </c>
      <c r="F51" s="6" t="s">
        <v>69</v>
      </c>
      <c r="G51" s="24">
        <v>45587.0</v>
      </c>
      <c r="H51" s="26">
        <v>45566.0</v>
      </c>
      <c r="I51" s="6"/>
    </row>
    <row r="52">
      <c r="A52" s="6" t="s">
        <v>284</v>
      </c>
      <c r="B52" s="6" t="s">
        <v>42</v>
      </c>
      <c r="C52" s="24">
        <v>45939.0</v>
      </c>
      <c r="D52" s="25">
        <v>1.75</v>
      </c>
      <c r="E52" s="6" t="s">
        <v>39</v>
      </c>
      <c r="F52" s="6" t="s">
        <v>69</v>
      </c>
      <c r="G52" s="24">
        <v>45793.0</v>
      </c>
      <c r="H52" s="27">
        <v>45778.0</v>
      </c>
      <c r="I52" s="6"/>
    </row>
    <row r="53">
      <c r="A53" s="6" t="s">
        <v>284</v>
      </c>
      <c r="B53" s="6" t="s">
        <v>48</v>
      </c>
      <c r="C53" s="24">
        <v>45939.0</v>
      </c>
      <c r="D53" s="25">
        <v>1.75</v>
      </c>
      <c r="E53" s="6" t="s">
        <v>39</v>
      </c>
      <c r="F53" s="6" t="s">
        <v>69</v>
      </c>
      <c r="G53" s="24">
        <v>45672.0</v>
      </c>
      <c r="H53" s="27">
        <v>45658.0</v>
      </c>
      <c r="I53" s="6"/>
    </row>
    <row r="54">
      <c r="A54" s="6" t="s">
        <v>284</v>
      </c>
      <c r="B54" s="6" t="s">
        <v>97</v>
      </c>
      <c r="C54" s="24">
        <v>45939.0</v>
      </c>
      <c r="D54" s="25">
        <v>1.75</v>
      </c>
      <c r="E54" s="6" t="s">
        <v>39</v>
      </c>
      <c r="F54" s="6" t="s">
        <v>69</v>
      </c>
      <c r="G54" s="24">
        <v>45842.0</v>
      </c>
      <c r="H54" s="27">
        <v>45839.0</v>
      </c>
      <c r="I54" s="6"/>
    </row>
    <row r="55">
      <c r="A55" s="6" t="s">
        <v>284</v>
      </c>
      <c r="B55" s="6" t="s">
        <v>272</v>
      </c>
      <c r="C55" s="24">
        <v>45939.0</v>
      </c>
      <c r="D55" s="25">
        <v>1.75</v>
      </c>
      <c r="E55" s="6" t="s">
        <v>39</v>
      </c>
      <c r="F55" s="6" t="s">
        <v>69</v>
      </c>
      <c r="G55" s="24">
        <v>45739.0</v>
      </c>
      <c r="H55" s="27">
        <v>45717.0</v>
      </c>
      <c r="I55" s="6"/>
    </row>
    <row r="56">
      <c r="A56" s="6" t="s">
        <v>284</v>
      </c>
      <c r="B56" s="6" t="s">
        <v>271</v>
      </c>
      <c r="C56" s="24">
        <v>45939.0</v>
      </c>
      <c r="D56" s="25">
        <v>1.75</v>
      </c>
      <c r="E56" s="6" t="s">
        <v>39</v>
      </c>
      <c r="F56" s="6" t="s">
        <v>69</v>
      </c>
      <c r="G56" s="24">
        <v>45739.0</v>
      </c>
      <c r="H56" s="27">
        <v>45717.0</v>
      </c>
      <c r="I56" s="6"/>
    </row>
    <row r="57">
      <c r="A57" s="6" t="s">
        <v>285</v>
      </c>
      <c r="B57" s="6" t="s">
        <v>48</v>
      </c>
      <c r="C57" s="24">
        <v>45940.0</v>
      </c>
      <c r="D57" s="25">
        <v>4.25</v>
      </c>
      <c r="E57" s="6" t="s">
        <v>63</v>
      </c>
      <c r="F57" s="6" t="s">
        <v>72</v>
      </c>
      <c r="G57" s="24">
        <v>45672.0</v>
      </c>
      <c r="H57" s="27">
        <v>45658.0</v>
      </c>
      <c r="I57" s="6"/>
    </row>
    <row r="58">
      <c r="A58" s="6" t="s">
        <v>285</v>
      </c>
      <c r="B58" s="6" t="s">
        <v>42</v>
      </c>
      <c r="C58" s="24">
        <v>45940.0</v>
      </c>
      <c r="D58" s="25">
        <v>4.25</v>
      </c>
      <c r="E58" s="6" t="s">
        <v>63</v>
      </c>
      <c r="F58" s="6" t="s">
        <v>72</v>
      </c>
      <c r="G58" s="24">
        <v>45793.0</v>
      </c>
      <c r="H58" s="27">
        <v>45778.0</v>
      </c>
      <c r="I58" s="6"/>
    </row>
    <row r="59">
      <c r="A59" s="6" t="s">
        <v>285</v>
      </c>
      <c r="B59" s="6" t="s">
        <v>27</v>
      </c>
      <c r="C59" s="24">
        <v>45940.0</v>
      </c>
      <c r="D59" s="25">
        <v>4.25</v>
      </c>
      <c r="E59" s="6" t="s">
        <v>63</v>
      </c>
      <c r="F59" s="6" t="s">
        <v>72</v>
      </c>
      <c r="G59" s="24">
        <v>45587.0</v>
      </c>
      <c r="H59" s="26">
        <v>45566.0</v>
      </c>
      <c r="I59" s="6"/>
    </row>
    <row r="60">
      <c r="A60" s="6" t="s">
        <v>285</v>
      </c>
      <c r="B60" s="6" t="s">
        <v>37</v>
      </c>
      <c r="C60" s="24">
        <v>45940.0</v>
      </c>
      <c r="D60" s="25">
        <v>4.25</v>
      </c>
      <c r="E60" s="6" t="s">
        <v>63</v>
      </c>
      <c r="F60" s="6" t="s">
        <v>72</v>
      </c>
      <c r="G60" s="24">
        <v>45587.0</v>
      </c>
      <c r="H60" s="26">
        <v>45566.0</v>
      </c>
      <c r="I60" s="6"/>
    </row>
    <row r="61">
      <c r="A61" s="6" t="s">
        <v>286</v>
      </c>
      <c r="B61" s="6" t="s">
        <v>48</v>
      </c>
      <c r="C61" s="24">
        <v>45942.0</v>
      </c>
      <c r="D61" s="25">
        <v>1.25</v>
      </c>
      <c r="E61" s="6" t="s">
        <v>50</v>
      </c>
      <c r="F61" s="6" t="s">
        <v>47</v>
      </c>
      <c r="G61" s="24">
        <v>45672.0</v>
      </c>
      <c r="H61" s="27">
        <v>45658.0</v>
      </c>
      <c r="I61" s="6"/>
    </row>
    <row r="62">
      <c r="A62" s="6" t="s">
        <v>286</v>
      </c>
      <c r="B62" s="6" t="s">
        <v>272</v>
      </c>
      <c r="C62" s="24">
        <v>45942.0</v>
      </c>
      <c r="D62" s="25">
        <v>1.25</v>
      </c>
      <c r="E62" s="6" t="s">
        <v>50</v>
      </c>
      <c r="F62" s="6" t="s">
        <v>47</v>
      </c>
      <c r="G62" s="24">
        <v>45739.0</v>
      </c>
      <c r="H62" s="27">
        <v>45717.0</v>
      </c>
      <c r="I62" s="6"/>
    </row>
    <row r="63">
      <c r="A63" s="6" t="s">
        <v>286</v>
      </c>
      <c r="B63" s="6" t="s">
        <v>219</v>
      </c>
      <c r="C63" s="24">
        <v>45942.0</v>
      </c>
      <c r="D63" s="25">
        <v>1.25</v>
      </c>
      <c r="E63" s="6" t="s">
        <v>50</v>
      </c>
      <c r="F63" s="6" t="s">
        <v>47</v>
      </c>
      <c r="G63" s="24">
        <v>45739.0</v>
      </c>
      <c r="H63" s="27">
        <v>45717.0</v>
      </c>
      <c r="I63" s="6"/>
    </row>
    <row r="64">
      <c r="A64" s="6" t="s">
        <v>286</v>
      </c>
      <c r="B64" s="6" t="s">
        <v>42</v>
      </c>
      <c r="C64" s="24">
        <v>45942.0</v>
      </c>
      <c r="D64" s="25">
        <v>1.25</v>
      </c>
      <c r="E64" s="6" t="s">
        <v>50</v>
      </c>
      <c r="F64" s="6" t="s">
        <v>47</v>
      </c>
      <c r="G64" s="24">
        <v>45793.0</v>
      </c>
      <c r="H64" s="27">
        <v>45778.0</v>
      </c>
      <c r="I64" s="6"/>
    </row>
    <row r="65">
      <c r="A65" s="6" t="s">
        <v>286</v>
      </c>
      <c r="B65" s="6" t="s">
        <v>271</v>
      </c>
      <c r="C65" s="24">
        <v>45942.0</v>
      </c>
      <c r="D65" s="25">
        <v>1.25</v>
      </c>
      <c r="E65" s="6" t="s">
        <v>50</v>
      </c>
      <c r="F65" s="6" t="s">
        <v>47</v>
      </c>
      <c r="G65" s="24">
        <v>45739.0</v>
      </c>
      <c r="H65" s="27">
        <v>45717.0</v>
      </c>
      <c r="I65" s="6"/>
    </row>
    <row r="66">
      <c r="A66" s="6" t="s">
        <v>286</v>
      </c>
      <c r="B66" s="6" t="s">
        <v>27</v>
      </c>
      <c r="C66" s="24">
        <v>45942.0</v>
      </c>
      <c r="D66" s="25">
        <v>1.25</v>
      </c>
      <c r="E66" s="6" t="s">
        <v>50</v>
      </c>
      <c r="F66" s="6" t="s">
        <v>47</v>
      </c>
      <c r="G66" s="24">
        <v>45587.0</v>
      </c>
      <c r="H66" s="26">
        <v>45566.0</v>
      </c>
      <c r="I66" s="6"/>
    </row>
    <row r="67">
      <c r="A67" s="6" t="s">
        <v>286</v>
      </c>
      <c r="B67" s="6" t="s">
        <v>268</v>
      </c>
      <c r="C67" s="24">
        <v>45942.0</v>
      </c>
      <c r="D67" s="25">
        <v>1.25</v>
      </c>
      <c r="E67" s="6" t="s">
        <v>50</v>
      </c>
      <c r="F67" s="6" t="s">
        <v>47</v>
      </c>
      <c r="G67" s="24">
        <v>45646.0</v>
      </c>
      <c r="H67" s="26">
        <v>45627.0</v>
      </c>
      <c r="I67" s="6"/>
    </row>
    <row r="68">
      <c r="A68" s="6" t="s">
        <v>286</v>
      </c>
      <c r="B68" s="6" t="s">
        <v>274</v>
      </c>
      <c r="C68" s="24">
        <v>45942.0</v>
      </c>
      <c r="D68" s="25">
        <v>1.25</v>
      </c>
      <c r="E68" s="6" t="s">
        <v>50</v>
      </c>
      <c r="F68" s="6" t="s">
        <v>47</v>
      </c>
      <c r="G68" s="24">
        <v>45793.0</v>
      </c>
      <c r="H68" s="27">
        <v>45778.0</v>
      </c>
      <c r="I68" s="6"/>
    </row>
    <row r="69">
      <c r="A69" s="6" t="s">
        <v>287</v>
      </c>
      <c r="B69" s="6" t="s">
        <v>42</v>
      </c>
      <c r="C69" s="24">
        <v>45943.0</v>
      </c>
      <c r="D69" s="25">
        <v>3.25</v>
      </c>
      <c r="E69" s="6" t="s">
        <v>29</v>
      </c>
      <c r="F69" s="6" t="s">
        <v>77</v>
      </c>
      <c r="G69" s="24">
        <v>45793.0</v>
      </c>
      <c r="H69" s="27">
        <v>45778.0</v>
      </c>
      <c r="I69" s="6"/>
    </row>
    <row r="70">
      <c r="A70" s="6" t="s">
        <v>288</v>
      </c>
      <c r="B70" s="6" t="s">
        <v>48</v>
      </c>
      <c r="C70" s="24">
        <v>45954.0</v>
      </c>
      <c r="D70" s="25">
        <v>3.75</v>
      </c>
      <c r="E70" s="6" t="s">
        <v>63</v>
      </c>
      <c r="F70" s="6" t="s">
        <v>78</v>
      </c>
      <c r="G70" s="24">
        <v>45672.0</v>
      </c>
      <c r="H70" s="27">
        <v>45658.0</v>
      </c>
      <c r="I70" s="6"/>
    </row>
    <row r="71">
      <c r="A71" s="6" t="s">
        <v>288</v>
      </c>
      <c r="B71" s="6" t="s">
        <v>272</v>
      </c>
      <c r="C71" s="24">
        <v>45954.0</v>
      </c>
      <c r="D71" s="25">
        <v>3.75</v>
      </c>
      <c r="E71" s="6" t="s">
        <v>63</v>
      </c>
      <c r="F71" s="6" t="s">
        <v>78</v>
      </c>
      <c r="G71" s="24">
        <v>45739.0</v>
      </c>
      <c r="H71" s="27">
        <v>45717.0</v>
      </c>
      <c r="I71" s="6"/>
    </row>
    <row r="72">
      <c r="A72" s="6" t="s">
        <v>288</v>
      </c>
      <c r="B72" s="6" t="s">
        <v>42</v>
      </c>
      <c r="C72" s="24">
        <v>45954.0</v>
      </c>
      <c r="D72" s="25">
        <v>3.75</v>
      </c>
      <c r="E72" s="6" t="s">
        <v>63</v>
      </c>
      <c r="F72" s="6" t="s">
        <v>78</v>
      </c>
      <c r="G72" s="24">
        <v>45793.0</v>
      </c>
      <c r="H72" s="27">
        <v>45778.0</v>
      </c>
      <c r="I72" s="6"/>
    </row>
    <row r="73">
      <c r="A73" s="6" t="s">
        <v>288</v>
      </c>
      <c r="B73" s="6" t="s">
        <v>271</v>
      </c>
      <c r="C73" s="24">
        <v>45954.0</v>
      </c>
      <c r="D73" s="25">
        <v>3.75</v>
      </c>
      <c r="E73" s="6" t="s">
        <v>63</v>
      </c>
      <c r="F73" s="6" t="s">
        <v>78</v>
      </c>
      <c r="G73" s="24">
        <v>45739.0</v>
      </c>
      <c r="H73" s="27">
        <v>45717.0</v>
      </c>
      <c r="I73" s="6"/>
    </row>
    <row r="74">
      <c r="A74" s="6" t="s">
        <v>288</v>
      </c>
      <c r="B74" s="6" t="s">
        <v>27</v>
      </c>
      <c r="C74" s="24">
        <v>45954.0</v>
      </c>
      <c r="D74" s="25">
        <v>3.75</v>
      </c>
      <c r="E74" s="6" t="s">
        <v>63</v>
      </c>
      <c r="F74" s="6" t="s">
        <v>78</v>
      </c>
      <c r="G74" s="24">
        <v>45587.0</v>
      </c>
      <c r="H74" s="26">
        <v>45566.0</v>
      </c>
      <c r="I74" s="6"/>
    </row>
    <row r="75">
      <c r="A75" s="6" t="s">
        <v>288</v>
      </c>
      <c r="B75" s="6" t="s">
        <v>289</v>
      </c>
      <c r="C75" s="24">
        <v>45954.0</v>
      </c>
      <c r="D75" s="25">
        <v>3.75</v>
      </c>
      <c r="E75" s="6" t="s">
        <v>63</v>
      </c>
      <c r="F75" s="6" t="s">
        <v>78</v>
      </c>
      <c r="G75" s="24">
        <v>45954.0</v>
      </c>
      <c r="H75" s="26">
        <v>45931.0</v>
      </c>
      <c r="I75" s="6" t="b">
        <v>1</v>
      </c>
    </row>
    <row r="76">
      <c r="A76" s="6" t="s">
        <v>288</v>
      </c>
      <c r="B76" s="6" t="s">
        <v>274</v>
      </c>
      <c r="C76" s="24">
        <v>45954.0</v>
      </c>
      <c r="D76" s="25">
        <v>3.75</v>
      </c>
      <c r="E76" s="6" t="s">
        <v>63</v>
      </c>
      <c r="F76" s="6" t="s">
        <v>78</v>
      </c>
      <c r="G76" s="24">
        <v>45793.0</v>
      </c>
      <c r="H76" s="27">
        <v>45778.0</v>
      </c>
      <c r="I76" s="6"/>
    </row>
    <row r="77">
      <c r="A77" s="6" t="s">
        <v>290</v>
      </c>
      <c r="B77" s="6" t="s">
        <v>219</v>
      </c>
      <c r="C77" s="24">
        <v>45956.0</v>
      </c>
      <c r="D77" s="25">
        <v>2.0</v>
      </c>
      <c r="E77" s="6" t="s">
        <v>29</v>
      </c>
      <c r="F77" s="6" t="s">
        <v>81</v>
      </c>
      <c r="G77" s="24">
        <v>45739.0</v>
      </c>
      <c r="H77" s="27">
        <v>45717.0</v>
      </c>
      <c r="I77" s="6"/>
    </row>
    <row r="78">
      <c r="A78" s="6" t="s">
        <v>290</v>
      </c>
      <c r="B78" s="6" t="s">
        <v>42</v>
      </c>
      <c r="C78" s="24">
        <v>45956.0</v>
      </c>
      <c r="D78" s="25">
        <v>2.0</v>
      </c>
      <c r="E78" s="6" t="s">
        <v>29</v>
      </c>
      <c r="F78" s="6" t="s">
        <v>81</v>
      </c>
      <c r="G78" s="24">
        <v>45793.0</v>
      </c>
      <c r="H78" s="27">
        <v>45778.0</v>
      </c>
      <c r="I78" s="6"/>
    </row>
    <row r="79">
      <c r="A79" s="6" t="s">
        <v>291</v>
      </c>
      <c r="B79" s="6" t="s">
        <v>219</v>
      </c>
      <c r="C79" s="24">
        <v>45957.0</v>
      </c>
      <c r="D79" s="25">
        <v>4.75</v>
      </c>
      <c r="E79" s="6" t="s">
        <v>29</v>
      </c>
      <c r="F79" s="6" t="s">
        <v>77</v>
      </c>
      <c r="G79" s="24">
        <v>45739.0</v>
      </c>
      <c r="H79" s="27">
        <v>45717.0</v>
      </c>
      <c r="I79" s="6"/>
    </row>
    <row r="80">
      <c r="A80" s="6" t="s">
        <v>291</v>
      </c>
      <c r="B80" s="6" t="s">
        <v>42</v>
      </c>
      <c r="C80" s="24">
        <v>45957.0</v>
      </c>
      <c r="D80" s="25">
        <v>4.75</v>
      </c>
      <c r="E80" s="6" t="s">
        <v>29</v>
      </c>
      <c r="F80" s="6" t="s">
        <v>77</v>
      </c>
      <c r="G80" s="24">
        <v>45793.0</v>
      </c>
      <c r="H80" s="27">
        <v>45778.0</v>
      </c>
      <c r="I80" s="6"/>
    </row>
    <row r="81">
      <c r="A81" s="6" t="s">
        <v>291</v>
      </c>
      <c r="B81" s="6" t="s">
        <v>48</v>
      </c>
      <c r="C81" s="24">
        <v>45957.0</v>
      </c>
      <c r="D81" s="25">
        <v>4.75</v>
      </c>
      <c r="E81" s="6" t="s">
        <v>29</v>
      </c>
      <c r="F81" s="6" t="s">
        <v>77</v>
      </c>
      <c r="G81" s="24">
        <v>45672.0</v>
      </c>
      <c r="H81" s="27">
        <v>45658.0</v>
      </c>
      <c r="I81" s="6"/>
    </row>
    <row r="82">
      <c r="A82" s="6" t="s">
        <v>291</v>
      </c>
      <c r="B82" s="6" t="s">
        <v>289</v>
      </c>
      <c r="C82" s="24">
        <v>45957.0</v>
      </c>
      <c r="D82" s="25">
        <v>4.75</v>
      </c>
      <c r="E82" s="6" t="s">
        <v>29</v>
      </c>
      <c r="F82" s="6" t="s">
        <v>77</v>
      </c>
      <c r="G82" s="24">
        <v>45954.0</v>
      </c>
      <c r="H82" s="26">
        <v>45931.0</v>
      </c>
      <c r="I82" s="6"/>
    </row>
    <row r="83">
      <c r="A83" s="6" t="s">
        <v>292</v>
      </c>
      <c r="B83" s="6" t="s">
        <v>88</v>
      </c>
      <c r="C83" s="24">
        <v>45962.0</v>
      </c>
      <c r="D83" s="25">
        <v>2.5</v>
      </c>
      <c r="E83" s="6" t="s">
        <v>63</v>
      </c>
      <c r="F83" s="6" t="s">
        <v>87</v>
      </c>
      <c r="G83" s="24">
        <v>45672.0</v>
      </c>
      <c r="H83" s="27">
        <v>45658.0</v>
      </c>
      <c r="I83" s="6"/>
    </row>
    <row r="84">
      <c r="A84" s="6" t="s">
        <v>292</v>
      </c>
      <c r="B84" s="6" t="s">
        <v>211</v>
      </c>
      <c r="C84" s="24">
        <v>45962.0</v>
      </c>
      <c r="D84" s="25">
        <v>2.5</v>
      </c>
      <c r="E84" s="6" t="s">
        <v>63</v>
      </c>
      <c r="F84" s="6" t="s">
        <v>87</v>
      </c>
      <c r="G84" s="24">
        <v>45869.0</v>
      </c>
      <c r="H84" s="27">
        <v>45839.0</v>
      </c>
      <c r="I84" s="6"/>
    </row>
    <row r="85">
      <c r="A85" s="6" t="s">
        <v>292</v>
      </c>
      <c r="B85" s="6" t="s">
        <v>42</v>
      </c>
      <c r="C85" s="24">
        <v>45962.0</v>
      </c>
      <c r="D85" s="25">
        <v>2.5</v>
      </c>
      <c r="E85" s="6" t="s">
        <v>63</v>
      </c>
      <c r="F85" s="6" t="s">
        <v>87</v>
      </c>
      <c r="G85" s="24">
        <v>45793.0</v>
      </c>
      <c r="H85" s="27">
        <v>45778.0</v>
      </c>
      <c r="I85" s="6"/>
    </row>
    <row r="86">
      <c r="A86" s="6" t="s">
        <v>293</v>
      </c>
      <c r="B86" s="6" t="s">
        <v>48</v>
      </c>
      <c r="C86" s="24">
        <v>45972.0</v>
      </c>
      <c r="D86" s="25">
        <v>4.25</v>
      </c>
      <c r="E86" s="6" t="s">
        <v>29</v>
      </c>
      <c r="F86" s="6" t="s">
        <v>26</v>
      </c>
      <c r="G86" s="24">
        <v>45672.0</v>
      </c>
      <c r="H86" s="27">
        <v>45658.0</v>
      </c>
      <c r="I86" s="6"/>
    </row>
    <row r="87">
      <c r="A87" s="6" t="s">
        <v>293</v>
      </c>
      <c r="B87" s="6" t="s">
        <v>274</v>
      </c>
      <c r="C87" s="24">
        <v>45972.0</v>
      </c>
      <c r="D87" s="25">
        <v>4.25</v>
      </c>
      <c r="E87" s="6" t="s">
        <v>29</v>
      </c>
      <c r="F87" s="6" t="s">
        <v>26</v>
      </c>
      <c r="G87" s="24">
        <v>45793.0</v>
      </c>
      <c r="H87" s="27">
        <v>45778.0</v>
      </c>
      <c r="I87" s="6"/>
    </row>
    <row r="88">
      <c r="A88" s="6" t="s">
        <v>293</v>
      </c>
      <c r="B88" s="6" t="s">
        <v>42</v>
      </c>
      <c r="C88" s="24">
        <v>45972.0</v>
      </c>
      <c r="D88" s="25">
        <v>4.25</v>
      </c>
      <c r="E88" s="6" t="s">
        <v>29</v>
      </c>
      <c r="F88" s="6" t="s">
        <v>26</v>
      </c>
      <c r="G88" s="24">
        <v>45793.0</v>
      </c>
      <c r="H88" s="27">
        <v>45778.0</v>
      </c>
      <c r="I88" s="6"/>
    </row>
    <row r="89">
      <c r="A89" s="6" t="s">
        <v>294</v>
      </c>
      <c r="B89" s="6" t="s">
        <v>48</v>
      </c>
      <c r="C89" s="24">
        <v>45974.0</v>
      </c>
      <c r="D89" s="25">
        <v>1.5</v>
      </c>
      <c r="E89" s="6" t="s">
        <v>39</v>
      </c>
      <c r="F89" s="6" t="s">
        <v>69</v>
      </c>
      <c r="G89" s="24">
        <v>45672.0</v>
      </c>
      <c r="H89" s="27">
        <v>45658.0</v>
      </c>
      <c r="I89" s="6"/>
    </row>
    <row r="90">
      <c r="A90" s="6" t="s">
        <v>294</v>
      </c>
      <c r="B90" s="6" t="s">
        <v>27</v>
      </c>
      <c r="C90" s="24">
        <v>45974.0</v>
      </c>
      <c r="D90" s="25">
        <v>1.5</v>
      </c>
      <c r="E90" s="6" t="s">
        <v>39</v>
      </c>
      <c r="F90" s="6" t="s">
        <v>69</v>
      </c>
      <c r="G90" s="24">
        <v>45587.0</v>
      </c>
      <c r="H90" s="26">
        <v>45566.0</v>
      </c>
      <c r="I90" s="6"/>
    </row>
    <row r="91">
      <c r="A91" s="6" t="s">
        <v>294</v>
      </c>
      <c r="B91" s="6" t="s">
        <v>271</v>
      </c>
      <c r="C91" s="24">
        <v>45974.0</v>
      </c>
      <c r="D91" s="25">
        <v>1.5</v>
      </c>
      <c r="E91" s="6" t="s">
        <v>39</v>
      </c>
      <c r="F91" s="6" t="s">
        <v>69</v>
      </c>
      <c r="G91" s="24">
        <v>45739.0</v>
      </c>
      <c r="H91" s="27">
        <v>45717.0</v>
      </c>
      <c r="I91" s="6"/>
    </row>
    <row r="92">
      <c r="A92" s="6" t="s">
        <v>294</v>
      </c>
      <c r="B92" s="6" t="s">
        <v>97</v>
      </c>
      <c r="C92" s="24">
        <v>45974.0</v>
      </c>
      <c r="D92" s="25">
        <v>1.5</v>
      </c>
      <c r="E92" s="6" t="s">
        <v>39</v>
      </c>
      <c r="F92" s="6" t="s">
        <v>69</v>
      </c>
      <c r="G92" s="24">
        <v>45842.0</v>
      </c>
      <c r="H92" s="27">
        <v>45839.0</v>
      </c>
      <c r="I92" s="6"/>
    </row>
    <row r="93">
      <c r="A93" s="6" t="s">
        <v>294</v>
      </c>
      <c r="B93" s="6" t="s">
        <v>37</v>
      </c>
      <c r="C93" s="24">
        <v>45974.0</v>
      </c>
      <c r="D93" s="25">
        <v>1.5</v>
      </c>
      <c r="E93" s="6" t="s">
        <v>39</v>
      </c>
      <c r="F93" s="6" t="s">
        <v>69</v>
      </c>
      <c r="G93" s="24">
        <v>45587.0</v>
      </c>
      <c r="H93" s="26">
        <v>45566.0</v>
      </c>
      <c r="I93" s="6"/>
    </row>
    <row r="94">
      <c r="A94" s="6" t="s">
        <v>294</v>
      </c>
      <c r="B94" s="6" t="s">
        <v>289</v>
      </c>
      <c r="C94" s="24">
        <v>45974.0</v>
      </c>
      <c r="D94" s="25">
        <v>1.5</v>
      </c>
      <c r="E94" s="6" t="s">
        <v>39</v>
      </c>
      <c r="F94" s="6" t="s">
        <v>69</v>
      </c>
      <c r="G94" s="24">
        <v>45954.0</v>
      </c>
      <c r="H94" s="26">
        <v>45931.0</v>
      </c>
      <c r="I94" s="6"/>
    </row>
    <row r="95">
      <c r="A95" s="6" t="s">
        <v>294</v>
      </c>
      <c r="B95" s="6" t="s">
        <v>88</v>
      </c>
      <c r="C95" s="24">
        <v>45974.0</v>
      </c>
      <c r="D95" s="25">
        <v>1.5</v>
      </c>
      <c r="E95" s="6" t="s">
        <v>39</v>
      </c>
      <c r="F95" s="6" t="s">
        <v>69</v>
      </c>
      <c r="G95" s="24">
        <v>45672.0</v>
      </c>
      <c r="H95" s="27">
        <v>45658.0</v>
      </c>
      <c r="I95" s="6"/>
    </row>
    <row r="96">
      <c r="A96" s="6" t="s">
        <v>294</v>
      </c>
      <c r="B96" s="6" t="s">
        <v>272</v>
      </c>
      <c r="C96" s="24">
        <v>45974.0</v>
      </c>
      <c r="D96" s="25">
        <v>1.5</v>
      </c>
      <c r="E96" s="6" t="s">
        <v>39</v>
      </c>
      <c r="F96" s="6" t="s">
        <v>69</v>
      </c>
      <c r="G96" s="24">
        <v>45739.0</v>
      </c>
      <c r="H96" s="27">
        <v>45717.0</v>
      </c>
      <c r="I96" s="6"/>
    </row>
    <row r="97">
      <c r="A97" s="6" t="s">
        <v>294</v>
      </c>
      <c r="B97" s="6" t="s">
        <v>295</v>
      </c>
      <c r="C97" s="24">
        <v>45974.0</v>
      </c>
      <c r="D97" s="25">
        <v>1.5</v>
      </c>
      <c r="E97" s="6" t="s">
        <v>39</v>
      </c>
      <c r="F97" s="6" t="s">
        <v>69</v>
      </c>
      <c r="G97" s="24">
        <v>45974.0</v>
      </c>
      <c r="H97" s="26">
        <v>45962.0</v>
      </c>
      <c r="I97" s="6" t="b">
        <v>1</v>
      </c>
    </row>
    <row r="98">
      <c r="A98" s="6" t="s">
        <v>294</v>
      </c>
      <c r="B98" s="6" t="s">
        <v>213</v>
      </c>
      <c r="C98" s="24">
        <v>45974.0</v>
      </c>
      <c r="D98" s="25">
        <v>1.5</v>
      </c>
      <c r="E98" s="6" t="s">
        <v>39</v>
      </c>
      <c r="F98" s="6" t="s">
        <v>69</v>
      </c>
      <c r="G98" s="24">
        <v>45974.0</v>
      </c>
      <c r="H98" s="26">
        <v>45962.0</v>
      </c>
      <c r="I98" s="6" t="b">
        <v>1</v>
      </c>
    </row>
    <row r="99">
      <c r="A99" s="6" t="s">
        <v>296</v>
      </c>
      <c r="B99" s="6" t="s">
        <v>97</v>
      </c>
      <c r="C99" s="24">
        <v>45976.0</v>
      </c>
      <c r="D99" s="25">
        <v>3.0</v>
      </c>
      <c r="E99" s="6" t="s">
        <v>29</v>
      </c>
      <c r="F99" s="6" t="s">
        <v>96</v>
      </c>
      <c r="G99" s="24">
        <v>45842.0</v>
      </c>
      <c r="H99" s="27">
        <v>45839.0</v>
      </c>
      <c r="I99" s="6"/>
    </row>
    <row r="100">
      <c r="A100" s="6" t="s">
        <v>296</v>
      </c>
      <c r="B100" s="6" t="s">
        <v>271</v>
      </c>
      <c r="C100" s="24">
        <v>45976.0</v>
      </c>
      <c r="D100" s="25">
        <v>3.0</v>
      </c>
      <c r="E100" s="6" t="s">
        <v>29</v>
      </c>
      <c r="F100" s="6" t="s">
        <v>96</v>
      </c>
      <c r="G100" s="24">
        <v>45739.0</v>
      </c>
      <c r="H100" s="27">
        <v>45717.0</v>
      </c>
      <c r="I100" s="6"/>
    </row>
    <row r="101">
      <c r="A101" s="6" t="s">
        <v>297</v>
      </c>
      <c r="B101" s="6" t="s">
        <v>268</v>
      </c>
      <c r="C101" s="24">
        <v>45979.0</v>
      </c>
      <c r="D101" s="25">
        <v>0.25</v>
      </c>
      <c r="E101" s="6" t="s">
        <v>50</v>
      </c>
      <c r="F101" s="6" t="s">
        <v>47</v>
      </c>
      <c r="G101" s="24">
        <v>45646.0</v>
      </c>
      <c r="H101" s="26">
        <v>45627.0</v>
      </c>
      <c r="I101" s="6"/>
    </row>
    <row r="102">
      <c r="A102" s="6" t="s">
        <v>297</v>
      </c>
      <c r="B102" s="6" t="s">
        <v>42</v>
      </c>
      <c r="C102" s="24">
        <v>45979.0</v>
      </c>
      <c r="D102" s="25">
        <v>0.25</v>
      </c>
      <c r="E102" s="6" t="s">
        <v>50</v>
      </c>
      <c r="F102" s="6" t="s">
        <v>47</v>
      </c>
      <c r="G102" s="24">
        <v>45793.0</v>
      </c>
      <c r="H102" s="27">
        <v>45778.0</v>
      </c>
      <c r="I102" s="6"/>
    </row>
    <row r="103">
      <c r="A103" s="6" t="s">
        <v>297</v>
      </c>
      <c r="B103" s="6" t="s">
        <v>48</v>
      </c>
      <c r="C103" s="24">
        <v>45979.0</v>
      </c>
      <c r="D103" s="25">
        <v>0.25</v>
      </c>
      <c r="E103" s="6" t="s">
        <v>50</v>
      </c>
      <c r="F103" s="6" t="s">
        <v>47</v>
      </c>
      <c r="G103" s="24">
        <v>45672.0</v>
      </c>
      <c r="H103" s="27">
        <v>45658.0</v>
      </c>
      <c r="I103" s="6"/>
    </row>
    <row r="104">
      <c r="A104" s="6" t="s">
        <v>298</v>
      </c>
      <c r="B104" s="6" t="s">
        <v>97</v>
      </c>
      <c r="C104" s="24">
        <v>45980.0</v>
      </c>
      <c r="D104" s="25">
        <v>1.0</v>
      </c>
      <c r="E104" s="6" t="s">
        <v>29</v>
      </c>
      <c r="F104" s="6" t="s">
        <v>96</v>
      </c>
      <c r="G104" s="24">
        <v>45842.0</v>
      </c>
      <c r="H104" s="27">
        <v>45839.0</v>
      </c>
      <c r="I104" s="6"/>
    </row>
    <row r="105">
      <c r="A105" s="6" t="s">
        <v>298</v>
      </c>
      <c r="B105" s="6" t="s">
        <v>272</v>
      </c>
      <c r="C105" s="24">
        <v>45980.0</v>
      </c>
      <c r="D105" s="25">
        <v>1.0</v>
      </c>
      <c r="E105" s="6" t="s">
        <v>29</v>
      </c>
      <c r="F105" s="6" t="s">
        <v>96</v>
      </c>
      <c r="G105" s="24">
        <v>45739.0</v>
      </c>
      <c r="H105" s="27">
        <v>45717.0</v>
      </c>
      <c r="I105" s="6"/>
    </row>
    <row r="106">
      <c r="A106" s="6" t="s">
        <v>299</v>
      </c>
      <c r="B106" s="6" t="s">
        <v>274</v>
      </c>
      <c r="C106" s="24">
        <v>45982.0</v>
      </c>
      <c r="D106" s="25">
        <v>3.0</v>
      </c>
      <c r="E106" s="6" t="s">
        <v>63</v>
      </c>
      <c r="F106" s="6" t="s">
        <v>78</v>
      </c>
      <c r="G106" s="24">
        <v>45793.0</v>
      </c>
      <c r="H106" s="27">
        <v>45778.0</v>
      </c>
      <c r="I106" s="6"/>
    </row>
    <row r="107">
      <c r="A107" s="6" t="s">
        <v>299</v>
      </c>
      <c r="B107" s="6" t="s">
        <v>48</v>
      </c>
      <c r="C107" s="24">
        <v>45982.0</v>
      </c>
      <c r="D107" s="25">
        <v>3.0</v>
      </c>
      <c r="E107" s="6" t="s">
        <v>63</v>
      </c>
      <c r="F107" s="6" t="s">
        <v>78</v>
      </c>
      <c r="G107" s="24">
        <v>45672.0</v>
      </c>
      <c r="H107" s="27">
        <v>45658.0</v>
      </c>
      <c r="I107" s="6"/>
    </row>
    <row r="108">
      <c r="A108" s="6" t="s">
        <v>299</v>
      </c>
      <c r="B108" s="6" t="s">
        <v>42</v>
      </c>
      <c r="C108" s="24">
        <v>45982.0</v>
      </c>
      <c r="D108" s="25">
        <v>3.0</v>
      </c>
      <c r="E108" s="6" t="s">
        <v>63</v>
      </c>
      <c r="F108" s="6" t="s">
        <v>78</v>
      </c>
      <c r="G108" s="24">
        <v>45793.0</v>
      </c>
      <c r="H108" s="27">
        <v>45778.0</v>
      </c>
      <c r="I108" s="6"/>
    </row>
    <row r="109">
      <c r="A109" s="6" t="s">
        <v>299</v>
      </c>
      <c r="B109" s="6" t="s">
        <v>289</v>
      </c>
      <c r="C109" s="24">
        <v>45982.0</v>
      </c>
      <c r="D109" s="25">
        <v>3.0</v>
      </c>
      <c r="E109" s="6" t="s">
        <v>63</v>
      </c>
      <c r="F109" s="6" t="s">
        <v>78</v>
      </c>
      <c r="G109" s="24">
        <v>45954.0</v>
      </c>
      <c r="H109" s="26">
        <v>45931.0</v>
      </c>
      <c r="I109" s="6"/>
    </row>
    <row r="110">
      <c r="A110" s="6" t="s">
        <v>299</v>
      </c>
      <c r="B110" s="6" t="s">
        <v>271</v>
      </c>
      <c r="C110" s="24">
        <v>45982.0</v>
      </c>
      <c r="D110" s="25">
        <v>3.0</v>
      </c>
      <c r="E110" s="6" t="s">
        <v>63</v>
      </c>
      <c r="F110" s="6" t="s">
        <v>78</v>
      </c>
      <c r="G110" s="24">
        <v>45739.0</v>
      </c>
      <c r="H110" s="27">
        <v>45717.0</v>
      </c>
      <c r="I110" s="6"/>
    </row>
    <row r="111">
      <c r="A111" s="6" t="s">
        <v>299</v>
      </c>
      <c r="B111" s="6" t="s">
        <v>272</v>
      </c>
      <c r="C111" s="24">
        <v>45982.0</v>
      </c>
      <c r="D111" s="25">
        <v>3.0</v>
      </c>
      <c r="E111" s="6" t="s">
        <v>63</v>
      </c>
      <c r="F111" s="6" t="s">
        <v>78</v>
      </c>
      <c r="G111" s="24">
        <v>45739.0</v>
      </c>
      <c r="H111" s="27">
        <v>45717.0</v>
      </c>
      <c r="I111" s="6"/>
    </row>
    <row r="112">
      <c r="A112" s="6" t="s">
        <v>299</v>
      </c>
      <c r="B112" s="6" t="s">
        <v>295</v>
      </c>
      <c r="C112" s="24">
        <v>45982.0</v>
      </c>
      <c r="D112" s="25">
        <v>3.0</v>
      </c>
      <c r="E112" s="6" t="s">
        <v>63</v>
      </c>
      <c r="F112" s="6" t="s">
        <v>78</v>
      </c>
      <c r="G112" s="24">
        <v>45974.0</v>
      </c>
      <c r="H112" s="26">
        <v>45962.0</v>
      </c>
      <c r="I112" s="6"/>
    </row>
    <row r="113">
      <c r="A113" s="6" t="s">
        <v>299</v>
      </c>
      <c r="B113" s="6" t="s">
        <v>97</v>
      </c>
      <c r="C113" s="24">
        <v>45982.0</v>
      </c>
      <c r="D113" s="25">
        <v>3.0</v>
      </c>
      <c r="E113" s="6" t="s">
        <v>63</v>
      </c>
      <c r="F113" s="6" t="s">
        <v>78</v>
      </c>
      <c r="G113" s="24">
        <v>45842.0</v>
      </c>
      <c r="H113" s="27">
        <v>45839.0</v>
      </c>
      <c r="I113" s="6"/>
    </row>
    <row r="114">
      <c r="A114" s="6" t="s">
        <v>299</v>
      </c>
      <c r="B114" s="6" t="s">
        <v>218</v>
      </c>
      <c r="C114" s="24">
        <v>45982.0</v>
      </c>
      <c r="D114" s="25">
        <v>3.0</v>
      </c>
      <c r="E114" s="6" t="s">
        <v>63</v>
      </c>
      <c r="F114" s="6" t="s">
        <v>78</v>
      </c>
      <c r="G114" s="24">
        <v>45982.0</v>
      </c>
      <c r="H114" s="26">
        <v>45962.0</v>
      </c>
      <c r="I114" s="6" t="b">
        <v>1</v>
      </c>
    </row>
    <row r="115">
      <c r="A115" s="6" t="s">
        <v>300</v>
      </c>
      <c r="B115" s="6" t="s">
        <v>42</v>
      </c>
      <c r="C115" s="24">
        <v>45983.0</v>
      </c>
      <c r="D115" s="25">
        <v>7.0</v>
      </c>
      <c r="E115" s="6" t="s">
        <v>29</v>
      </c>
      <c r="F115" s="6" t="s">
        <v>77</v>
      </c>
      <c r="G115" s="24">
        <v>45793.0</v>
      </c>
      <c r="H115" s="27">
        <v>45778.0</v>
      </c>
      <c r="I115" s="6"/>
    </row>
    <row r="116">
      <c r="A116" s="6" t="s">
        <v>301</v>
      </c>
      <c r="B116" s="6" t="s">
        <v>48</v>
      </c>
      <c r="C116" s="24">
        <v>45986.0</v>
      </c>
      <c r="D116" s="25">
        <v>1.25</v>
      </c>
      <c r="E116" s="6" t="s">
        <v>50</v>
      </c>
      <c r="F116" s="6" t="s">
        <v>47</v>
      </c>
      <c r="G116" s="24">
        <v>45672.0</v>
      </c>
      <c r="H116" s="27">
        <v>45658.0</v>
      </c>
      <c r="I116" s="6"/>
    </row>
    <row r="117">
      <c r="A117" s="6" t="s">
        <v>301</v>
      </c>
      <c r="B117" s="6" t="s">
        <v>42</v>
      </c>
      <c r="C117" s="24">
        <v>45986.0</v>
      </c>
      <c r="D117" s="25">
        <v>1.25</v>
      </c>
      <c r="E117" s="6" t="s">
        <v>50</v>
      </c>
      <c r="F117" s="6" t="s">
        <v>47</v>
      </c>
      <c r="G117" s="24">
        <v>45793.0</v>
      </c>
      <c r="H117" s="27">
        <v>45778.0</v>
      </c>
      <c r="I117" s="6"/>
    </row>
    <row r="118">
      <c r="A118" s="6" t="s">
        <v>301</v>
      </c>
      <c r="B118" s="6" t="s">
        <v>208</v>
      </c>
      <c r="C118" s="24">
        <v>45986.0</v>
      </c>
      <c r="D118" s="25">
        <v>1.25</v>
      </c>
      <c r="E118" s="6" t="s">
        <v>50</v>
      </c>
      <c r="F118" s="6" t="s">
        <v>47</v>
      </c>
      <c r="G118" s="24">
        <v>45986.0</v>
      </c>
      <c r="H118" s="26">
        <v>45962.0</v>
      </c>
      <c r="I118" s="6" t="b">
        <v>1</v>
      </c>
    </row>
    <row r="119">
      <c r="A119" s="6" t="s">
        <v>301</v>
      </c>
      <c r="B119" s="6" t="s">
        <v>272</v>
      </c>
      <c r="C119" s="24">
        <v>45986.0</v>
      </c>
      <c r="D119" s="25">
        <v>1.25</v>
      </c>
      <c r="E119" s="6" t="s">
        <v>50</v>
      </c>
      <c r="F119" s="6" t="s">
        <v>47</v>
      </c>
      <c r="G119" s="24">
        <v>45739.0</v>
      </c>
      <c r="H119" s="27">
        <v>45717.0</v>
      </c>
      <c r="I119" s="6"/>
    </row>
    <row r="120">
      <c r="A120" s="6" t="s">
        <v>301</v>
      </c>
      <c r="B120" s="6" t="s">
        <v>219</v>
      </c>
      <c r="C120" s="24">
        <v>45986.0</v>
      </c>
      <c r="D120" s="25">
        <v>1.25</v>
      </c>
      <c r="E120" s="6" t="s">
        <v>50</v>
      </c>
      <c r="F120" s="6" t="s">
        <v>47</v>
      </c>
      <c r="G120" s="24">
        <v>45739.0</v>
      </c>
      <c r="H120" s="27">
        <v>45717.0</v>
      </c>
      <c r="I120" s="6"/>
    </row>
    <row r="121">
      <c r="A121" s="6" t="s">
        <v>302</v>
      </c>
      <c r="B121" s="6" t="s">
        <v>97</v>
      </c>
      <c r="C121" s="24">
        <v>45986.0</v>
      </c>
      <c r="D121" s="25">
        <v>1.5</v>
      </c>
      <c r="E121" s="6" t="s">
        <v>29</v>
      </c>
      <c r="F121" s="6" t="s">
        <v>96</v>
      </c>
      <c r="G121" s="24">
        <v>45842.0</v>
      </c>
      <c r="H121" s="27">
        <v>45839.0</v>
      </c>
      <c r="I121" s="6"/>
    </row>
    <row r="122">
      <c r="A122" s="6" t="s">
        <v>302</v>
      </c>
      <c r="B122" s="6" t="s">
        <v>271</v>
      </c>
      <c r="C122" s="24">
        <v>45986.0</v>
      </c>
      <c r="D122" s="25">
        <v>1.5</v>
      </c>
      <c r="E122" s="6" t="s">
        <v>29</v>
      </c>
      <c r="F122" s="6" t="s">
        <v>96</v>
      </c>
      <c r="G122" s="24">
        <v>45739.0</v>
      </c>
      <c r="H122" s="27">
        <v>45717.0</v>
      </c>
      <c r="I122" s="6"/>
    </row>
    <row r="123">
      <c r="A123" s="6" t="s">
        <v>302</v>
      </c>
      <c r="B123" s="6" t="s">
        <v>272</v>
      </c>
      <c r="C123" s="24">
        <v>45986.0</v>
      </c>
      <c r="D123" s="25">
        <v>1.5</v>
      </c>
      <c r="E123" s="6" t="s">
        <v>29</v>
      </c>
      <c r="F123" s="6" t="s">
        <v>96</v>
      </c>
      <c r="G123" s="24">
        <v>45739.0</v>
      </c>
      <c r="H123" s="27">
        <v>45717.0</v>
      </c>
      <c r="I123" s="6"/>
    </row>
    <row r="124">
      <c r="A124" s="6" t="s">
        <v>302</v>
      </c>
      <c r="B124" s="6" t="s">
        <v>268</v>
      </c>
      <c r="C124" s="24">
        <v>45986.0</v>
      </c>
      <c r="D124" s="25">
        <v>1.5</v>
      </c>
      <c r="E124" s="6" t="s">
        <v>29</v>
      </c>
      <c r="F124" s="6" t="s">
        <v>96</v>
      </c>
      <c r="G124" s="24">
        <v>45646.0</v>
      </c>
      <c r="H124" s="26">
        <v>45627.0</v>
      </c>
      <c r="I124" s="6"/>
    </row>
    <row r="125">
      <c r="A125" s="6" t="s">
        <v>303</v>
      </c>
      <c r="B125" s="6" t="s">
        <v>48</v>
      </c>
      <c r="C125" s="24">
        <v>45995.0</v>
      </c>
      <c r="D125" s="25">
        <v>1.0</v>
      </c>
      <c r="E125" s="6" t="s">
        <v>50</v>
      </c>
      <c r="F125" s="6" t="s">
        <v>47</v>
      </c>
      <c r="G125" s="24">
        <v>45672.0</v>
      </c>
      <c r="H125" s="27">
        <v>45658.0</v>
      </c>
      <c r="I125" s="6"/>
    </row>
    <row r="126">
      <c r="A126" s="6" t="s">
        <v>303</v>
      </c>
      <c r="B126" s="6" t="s">
        <v>289</v>
      </c>
      <c r="C126" s="24">
        <v>45995.0</v>
      </c>
      <c r="D126" s="25">
        <v>1.0</v>
      </c>
      <c r="E126" s="6" t="s">
        <v>50</v>
      </c>
      <c r="F126" s="6" t="s">
        <v>47</v>
      </c>
      <c r="G126" s="24">
        <v>45954.0</v>
      </c>
      <c r="H126" s="26">
        <v>45931.0</v>
      </c>
      <c r="I126" s="6"/>
    </row>
    <row r="127">
      <c r="A127" s="6" t="s">
        <v>303</v>
      </c>
      <c r="B127" s="6" t="s">
        <v>295</v>
      </c>
      <c r="C127" s="24">
        <v>45995.0</v>
      </c>
      <c r="D127" s="25">
        <v>1.0</v>
      </c>
      <c r="E127" s="6" t="s">
        <v>50</v>
      </c>
      <c r="F127" s="6" t="s">
        <v>47</v>
      </c>
      <c r="G127" s="24">
        <v>45974.0</v>
      </c>
      <c r="H127" s="26">
        <v>45962.0</v>
      </c>
      <c r="I127" s="6"/>
    </row>
    <row r="128">
      <c r="A128" s="6" t="s">
        <v>304</v>
      </c>
      <c r="B128" s="6" t="s">
        <v>48</v>
      </c>
      <c r="C128" s="24">
        <v>46005.0</v>
      </c>
      <c r="D128" s="25">
        <v>1.0</v>
      </c>
      <c r="E128" s="6" t="s">
        <v>50</v>
      </c>
      <c r="F128" s="6" t="s">
        <v>47</v>
      </c>
      <c r="G128" s="24">
        <v>45672.0</v>
      </c>
      <c r="H128" s="27">
        <v>45658.0</v>
      </c>
      <c r="I128" s="6"/>
    </row>
    <row r="129">
      <c r="A129" s="6" t="s">
        <v>304</v>
      </c>
      <c r="B129" s="6" t="s">
        <v>289</v>
      </c>
      <c r="C129" s="24">
        <v>46005.0</v>
      </c>
      <c r="D129" s="25">
        <v>1.0</v>
      </c>
      <c r="E129" s="6" t="s">
        <v>50</v>
      </c>
      <c r="F129" s="6" t="s">
        <v>47</v>
      </c>
      <c r="G129" s="24">
        <v>45954.0</v>
      </c>
      <c r="H129" s="26">
        <v>45931.0</v>
      </c>
      <c r="I129" s="6"/>
    </row>
    <row r="130">
      <c r="A130" s="6" t="s">
        <v>304</v>
      </c>
      <c r="B130" s="6" t="s">
        <v>97</v>
      </c>
      <c r="C130" s="24">
        <v>46005.0</v>
      </c>
      <c r="D130" s="25">
        <v>1.0</v>
      </c>
      <c r="E130" s="6" t="s">
        <v>50</v>
      </c>
      <c r="F130" s="6" t="s">
        <v>47</v>
      </c>
      <c r="G130" s="24">
        <v>45842.0</v>
      </c>
      <c r="H130" s="27">
        <v>45839.0</v>
      </c>
      <c r="I130" s="6"/>
    </row>
    <row r="131">
      <c r="A131" s="6" t="s">
        <v>304</v>
      </c>
      <c r="B131" s="6" t="s">
        <v>268</v>
      </c>
      <c r="C131" s="24">
        <v>46005.0</v>
      </c>
      <c r="D131" s="25">
        <v>1.0</v>
      </c>
      <c r="E131" s="6" t="s">
        <v>50</v>
      </c>
      <c r="F131" s="6" t="s">
        <v>47</v>
      </c>
      <c r="G131" s="24">
        <v>45646.0</v>
      </c>
      <c r="H131" s="26">
        <v>45627.0</v>
      </c>
      <c r="I131" s="6"/>
    </row>
    <row r="132">
      <c r="A132" s="6" t="s">
        <v>304</v>
      </c>
      <c r="B132" s="6" t="s">
        <v>27</v>
      </c>
      <c r="C132" s="24">
        <v>46005.0</v>
      </c>
      <c r="D132" s="25">
        <v>1.0</v>
      </c>
      <c r="E132" s="6" t="s">
        <v>50</v>
      </c>
      <c r="F132" s="6" t="s">
        <v>47</v>
      </c>
      <c r="G132" s="24">
        <v>45587.0</v>
      </c>
      <c r="H132" s="26">
        <v>45566.0</v>
      </c>
      <c r="I132" s="6"/>
    </row>
    <row r="133">
      <c r="A133" s="6" t="s">
        <v>304</v>
      </c>
      <c r="B133" s="6" t="s">
        <v>272</v>
      </c>
      <c r="C133" s="24">
        <v>46005.0</v>
      </c>
      <c r="D133" s="25">
        <v>1.0</v>
      </c>
      <c r="E133" s="6" t="s">
        <v>50</v>
      </c>
      <c r="F133" s="6" t="s">
        <v>47</v>
      </c>
      <c r="G133" s="24">
        <v>45739.0</v>
      </c>
      <c r="H133" s="27">
        <v>45717.0</v>
      </c>
      <c r="I133" s="6"/>
    </row>
    <row r="134">
      <c r="A134" s="6" t="s">
        <v>304</v>
      </c>
      <c r="B134" s="6" t="s">
        <v>295</v>
      </c>
      <c r="C134" s="24">
        <v>46005.0</v>
      </c>
      <c r="D134" s="25">
        <v>1.0</v>
      </c>
      <c r="E134" s="6" t="s">
        <v>50</v>
      </c>
      <c r="F134" s="6" t="s">
        <v>47</v>
      </c>
      <c r="G134" s="24">
        <v>45974.0</v>
      </c>
      <c r="H134" s="26">
        <v>45962.0</v>
      </c>
      <c r="I134" s="6"/>
    </row>
    <row r="135">
      <c r="A135" s="6" t="s">
        <v>304</v>
      </c>
      <c r="B135" s="6" t="s">
        <v>274</v>
      </c>
      <c r="C135" s="24">
        <v>46005.0</v>
      </c>
      <c r="D135" s="25">
        <v>1.0</v>
      </c>
      <c r="E135" s="6" t="s">
        <v>50</v>
      </c>
      <c r="F135" s="6" t="s">
        <v>47</v>
      </c>
      <c r="G135" s="24">
        <v>45793.0</v>
      </c>
      <c r="H135" s="27">
        <v>45778.0</v>
      </c>
      <c r="I135" s="6"/>
    </row>
    <row r="136">
      <c r="A136" s="6" t="s">
        <v>305</v>
      </c>
      <c r="B136" s="6" t="s">
        <v>27</v>
      </c>
      <c r="C136" s="24">
        <v>46005.0</v>
      </c>
      <c r="D136" s="25">
        <v>2.0</v>
      </c>
      <c r="E136" s="6" t="s">
        <v>29</v>
      </c>
      <c r="F136" s="6" t="s">
        <v>81</v>
      </c>
      <c r="G136" s="24">
        <v>45587.0</v>
      </c>
      <c r="H136" s="26">
        <v>45566.0</v>
      </c>
      <c r="I136" s="6"/>
    </row>
    <row r="137">
      <c r="A137" s="6" t="s">
        <v>305</v>
      </c>
      <c r="B137" s="6" t="s">
        <v>274</v>
      </c>
      <c r="C137" s="24">
        <v>46005.0</v>
      </c>
      <c r="D137" s="25">
        <v>2.0</v>
      </c>
      <c r="E137" s="6" t="s">
        <v>29</v>
      </c>
      <c r="F137" s="6" t="s">
        <v>81</v>
      </c>
      <c r="G137" s="24">
        <v>45793.0</v>
      </c>
      <c r="H137" s="27">
        <v>45778.0</v>
      </c>
      <c r="I137" s="6"/>
    </row>
    <row r="138">
      <c r="A138" s="6" t="s">
        <v>305</v>
      </c>
      <c r="B138" s="6" t="s">
        <v>48</v>
      </c>
      <c r="C138" s="24">
        <v>46005.0</v>
      </c>
      <c r="D138" s="25">
        <v>2.0</v>
      </c>
      <c r="E138" s="6" t="s">
        <v>29</v>
      </c>
      <c r="F138" s="6" t="s">
        <v>81</v>
      </c>
      <c r="G138" s="24">
        <v>45672.0</v>
      </c>
      <c r="H138" s="27">
        <v>45658.0</v>
      </c>
      <c r="I138" s="6"/>
    </row>
    <row r="139">
      <c r="A139" s="6" t="s">
        <v>305</v>
      </c>
      <c r="B139" s="6" t="s">
        <v>272</v>
      </c>
      <c r="C139" s="24">
        <v>46005.0</v>
      </c>
      <c r="D139" s="25">
        <v>2.0</v>
      </c>
      <c r="E139" s="6" t="s">
        <v>29</v>
      </c>
      <c r="F139" s="6" t="s">
        <v>81</v>
      </c>
      <c r="G139" s="24">
        <v>45739.0</v>
      </c>
      <c r="H139" s="27">
        <v>45717.0</v>
      </c>
      <c r="I139" s="6"/>
    </row>
    <row r="140">
      <c r="A140" s="6" t="s">
        <v>305</v>
      </c>
      <c r="B140" s="6" t="s">
        <v>295</v>
      </c>
      <c r="C140" s="24">
        <v>46005.0</v>
      </c>
      <c r="D140" s="25">
        <v>2.0</v>
      </c>
      <c r="E140" s="6" t="s">
        <v>29</v>
      </c>
      <c r="F140" s="6" t="s">
        <v>81</v>
      </c>
      <c r="G140" s="24">
        <v>45974.0</v>
      </c>
      <c r="H140" s="26">
        <v>45962.0</v>
      </c>
      <c r="I140" s="6"/>
    </row>
    <row r="141">
      <c r="A141" s="6" t="s">
        <v>306</v>
      </c>
      <c r="B141" s="6" t="s">
        <v>48</v>
      </c>
      <c r="C141" s="24">
        <v>46006.0</v>
      </c>
      <c r="D141" s="25">
        <v>2.5</v>
      </c>
      <c r="E141" s="6" t="s">
        <v>29</v>
      </c>
      <c r="F141" s="6" t="s">
        <v>26</v>
      </c>
      <c r="G141" s="24">
        <v>45672.0</v>
      </c>
      <c r="H141" s="27">
        <v>45658.0</v>
      </c>
      <c r="I141" s="6"/>
    </row>
    <row r="142">
      <c r="A142" s="6" t="s">
        <v>306</v>
      </c>
      <c r="B142" s="6" t="s">
        <v>295</v>
      </c>
      <c r="C142" s="24">
        <v>46006.0</v>
      </c>
      <c r="D142" s="25">
        <v>2.5</v>
      </c>
      <c r="E142" s="6" t="s">
        <v>29</v>
      </c>
      <c r="F142" s="6" t="s">
        <v>26</v>
      </c>
      <c r="G142" s="24">
        <v>45974.0</v>
      </c>
      <c r="H142" s="26">
        <v>45962.0</v>
      </c>
      <c r="I142" s="6"/>
    </row>
    <row r="143">
      <c r="A143" s="6" t="s">
        <v>307</v>
      </c>
      <c r="B143" s="6" t="s">
        <v>27</v>
      </c>
      <c r="C143" s="24">
        <v>46031.0</v>
      </c>
      <c r="D143" s="25">
        <v>2.0</v>
      </c>
      <c r="E143" s="6" t="s">
        <v>29</v>
      </c>
      <c r="F143" s="6" t="s">
        <v>26</v>
      </c>
      <c r="G143" s="24">
        <v>45587.0</v>
      </c>
      <c r="H143" s="26">
        <v>45566.0</v>
      </c>
      <c r="I143" s="6"/>
    </row>
    <row r="144">
      <c r="A144" s="6" t="s">
        <v>308</v>
      </c>
      <c r="B144" s="6" t="s">
        <v>48</v>
      </c>
      <c r="C144" s="24">
        <v>46044.0</v>
      </c>
      <c r="D144" s="25">
        <v>0.75</v>
      </c>
      <c r="E144" s="6" t="s">
        <v>50</v>
      </c>
      <c r="F144" s="6" t="s">
        <v>47</v>
      </c>
      <c r="G144" s="24">
        <v>45672.0</v>
      </c>
      <c r="H144" s="27">
        <v>45658.0</v>
      </c>
      <c r="I144" s="6"/>
    </row>
    <row r="145">
      <c r="A145" s="6" t="s">
        <v>308</v>
      </c>
      <c r="B145" s="6" t="s">
        <v>42</v>
      </c>
      <c r="C145" s="24">
        <v>46044.0</v>
      </c>
      <c r="D145" s="25">
        <v>0.75</v>
      </c>
      <c r="E145" s="6" t="s">
        <v>50</v>
      </c>
      <c r="F145" s="6" t="s">
        <v>47</v>
      </c>
      <c r="G145" s="24">
        <v>45793.0</v>
      </c>
      <c r="H145" s="27">
        <v>45778.0</v>
      </c>
      <c r="I145" s="6"/>
    </row>
    <row r="146">
      <c r="A146" s="6" t="s">
        <v>308</v>
      </c>
      <c r="B146" s="6" t="s">
        <v>274</v>
      </c>
      <c r="C146" s="24">
        <v>46044.0</v>
      </c>
      <c r="D146" s="25">
        <v>0.75</v>
      </c>
      <c r="E146" s="6" t="s">
        <v>50</v>
      </c>
      <c r="F146" s="6" t="s">
        <v>47</v>
      </c>
      <c r="G146" s="24">
        <v>45793.0</v>
      </c>
      <c r="H146" s="27">
        <v>45778.0</v>
      </c>
      <c r="I146" s="6"/>
    </row>
    <row r="147">
      <c r="A147" s="6" t="s">
        <v>308</v>
      </c>
      <c r="B147" s="6" t="s">
        <v>271</v>
      </c>
      <c r="C147" s="24">
        <v>46044.0</v>
      </c>
      <c r="D147" s="25">
        <v>0.75</v>
      </c>
      <c r="E147" s="6" t="s">
        <v>50</v>
      </c>
      <c r="F147" s="6" t="s">
        <v>47</v>
      </c>
      <c r="G147" s="24">
        <v>45739.0</v>
      </c>
      <c r="H147" s="27">
        <v>45717.0</v>
      </c>
      <c r="I147" s="6"/>
    </row>
    <row r="148">
      <c r="A148" s="6" t="s">
        <v>308</v>
      </c>
      <c r="B148" s="6" t="s">
        <v>97</v>
      </c>
      <c r="C148" s="24">
        <v>46044.0</v>
      </c>
      <c r="D148" s="25">
        <v>0.75</v>
      </c>
      <c r="E148" s="6" t="s">
        <v>50</v>
      </c>
      <c r="F148" s="6" t="s">
        <v>47</v>
      </c>
      <c r="G148" s="24">
        <v>45842.0</v>
      </c>
      <c r="H148" s="27">
        <v>45839.0</v>
      </c>
      <c r="I148" s="6"/>
    </row>
    <row r="149">
      <c r="A149" s="6" t="s">
        <v>309</v>
      </c>
      <c r="B149" s="6" t="s">
        <v>42</v>
      </c>
      <c r="C149" s="24">
        <v>46047.0</v>
      </c>
      <c r="D149" s="25">
        <v>2.0</v>
      </c>
      <c r="E149" s="6" t="s">
        <v>29</v>
      </c>
      <c r="F149" s="6" t="s">
        <v>81</v>
      </c>
      <c r="G149" s="24">
        <v>45793.0</v>
      </c>
      <c r="H149" s="27">
        <v>45778.0</v>
      </c>
      <c r="I149" s="6"/>
    </row>
    <row r="150">
      <c r="A150" s="6" t="s">
        <v>309</v>
      </c>
      <c r="B150" s="6" t="s">
        <v>289</v>
      </c>
      <c r="C150" s="24">
        <v>46047.0</v>
      </c>
      <c r="D150" s="25">
        <v>2.0</v>
      </c>
      <c r="E150" s="6" t="s">
        <v>29</v>
      </c>
      <c r="F150" s="6" t="s">
        <v>81</v>
      </c>
      <c r="G150" s="24">
        <v>45954.0</v>
      </c>
      <c r="H150" s="26">
        <v>45931.0</v>
      </c>
      <c r="I150" s="6"/>
    </row>
    <row r="151">
      <c r="A151" s="6" t="s">
        <v>309</v>
      </c>
      <c r="B151" s="6" t="s">
        <v>268</v>
      </c>
      <c r="C151" s="24">
        <v>46047.0</v>
      </c>
      <c r="D151" s="25">
        <v>2.0</v>
      </c>
      <c r="E151" s="6" t="s">
        <v>29</v>
      </c>
      <c r="F151" s="6" t="s">
        <v>81</v>
      </c>
      <c r="G151" s="24">
        <v>45646.0</v>
      </c>
      <c r="H151" s="26">
        <v>45627.0</v>
      </c>
      <c r="I151" s="6"/>
    </row>
    <row r="152">
      <c r="A152" s="6" t="s">
        <v>309</v>
      </c>
      <c r="B152" s="6" t="s">
        <v>209</v>
      </c>
      <c r="C152" s="24">
        <v>46047.0</v>
      </c>
      <c r="D152" s="25">
        <v>2.0</v>
      </c>
      <c r="E152" s="6" t="s">
        <v>29</v>
      </c>
      <c r="F152" s="6" t="s">
        <v>81</v>
      </c>
      <c r="G152" s="24">
        <v>46047.0</v>
      </c>
      <c r="H152" s="27">
        <v>46023.0</v>
      </c>
      <c r="I152" s="6" t="b">
        <v>1</v>
      </c>
    </row>
    <row r="153">
      <c r="A153" s="6"/>
      <c r="B153" s="6"/>
      <c r="C153" s="24"/>
      <c r="D153" s="25"/>
      <c r="E153" s="6"/>
      <c r="F153" s="6"/>
    </row>
  </sheetData>
  <drawing r:id="rId1"/>
</worksheet>
</file>